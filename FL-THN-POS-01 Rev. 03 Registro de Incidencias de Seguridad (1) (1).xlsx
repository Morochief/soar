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GISTRO INCIDENCIAS" sheetId="1" state="visible" r:id="rId1"/>
    <sheet xmlns:r="http://schemas.openxmlformats.org/officeDocument/2006/relationships" name="PARAMETROS" sheetId="2" state="visible" r:id="rId2"/>
  </sheets>
  <definedNames/>
  <calcPr calcId="124519" fullCalcOnLoad="1"/>
</workbook>
</file>

<file path=xl/styles.xml><?xml version="1.0" encoding="utf-8"?>
<styleSheet xmlns="http://schemas.openxmlformats.org/spreadsheetml/2006/main">
  <numFmts count="6">
    <numFmt numFmtId="164" formatCode="D/M/YYYY"/>
    <numFmt numFmtId="165" formatCode="0.0"/>
    <numFmt numFmtId="166" formatCode="d/m/yyyy"/>
    <numFmt numFmtId="167" formatCode="dd/mm/yyyy"/>
    <numFmt numFmtId="168" formatCode="d/MM/yyyy H:mm:ss"/>
    <numFmt numFmtId="169" formatCode="dd/mm/yyyy\ hh:mm"/>
  </numFmts>
  <fonts count="25">
    <font>
      <name val="Calibri"/>
      <color theme="1"/>
      <sz val="11"/>
      <scheme val="minor"/>
    </font>
    <font>
      <name val="Calibri"/>
      <b val="1"/>
      <color rgb="FFFFFFFF"/>
      <sz val="12"/>
    </font>
    <font/>
    <font>
      <name val="Calibri"/>
      <color theme="1"/>
      <sz val="11"/>
    </font>
    <font>
      <name val="Calibri"/>
      <b val="1"/>
      <color rgb="FFFFFFFF"/>
      <sz val="11"/>
    </font>
    <font>
      <name val="Calibri"/>
      <b val="1"/>
      <color theme="1"/>
      <sz val="14"/>
    </font>
    <font>
      <name val="Calibri"/>
      <b val="1"/>
      <color rgb="FF404040"/>
      <sz val="11"/>
    </font>
    <font>
      <name val="Calibri"/>
      <color rgb="FF404040"/>
      <sz val="11"/>
    </font>
    <font>
      <name val="Calibri"/>
      <color theme="1"/>
      <sz val="12"/>
    </font>
    <font>
      <name val="Calibri"/>
      <b val="1"/>
      <color rgb="FFC1272D"/>
      <sz val="12"/>
    </font>
    <font>
      <name val="Calibri"/>
      <b val="1"/>
      <color theme="1"/>
      <sz val="12"/>
    </font>
    <font>
      <name val="Calibri"/>
      <b val="1"/>
      <color rgb="FFC1272D"/>
      <sz val="11"/>
    </font>
    <font>
      <name val="Calibri"/>
      <b val="1"/>
      <color theme="1"/>
      <sz val="12"/>
      <u val="single"/>
    </font>
    <font>
      <name val="Calibri"/>
      <b val="1"/>
      <color rgb="FF000000"/>
      <sz val="12"/>
      <u val="single"/>
    </font>
    <font>
      <name val="Calibri"/>
      <b val="1"/>
      <color theme="1"/>
      <sz val="12"/>
      <u val="single"/>
    </font>
    <font>
      <name val="Calibri"/>
      <b val="1"/>
      <color rgb="FF262626"/>
      <sz val="14"/>
    </font>
    <font>
      <name val="Calibri"/>
      <b val="1"/>
      <color rgb="FF262626"/>
      <sz val="14"/>
      <u val="single"/>
    </font>
    <font>
      <name val="Calibri"/>
      <i val="1"/>
      <color rgb="FF404040"/>
      <sz val="11"/>
    </font>
    <font>
      <name val="Calibri"/>
      <b val="1"/>
      <color rgb="FF262626"/>
      <sz val="14"/>
      <u val="single"/>
    </font>
    <font>
      <name val="Calibri"/>
      <b val="1"/>
      <color rgb="FF262626"/>
      <sz val="14"/>
      <u val="single"/>
    </font>
    <font>
      <name val="Calibri"/>
      <color theme="1"/>
      <sz val="14"/>
    </font>
    <font>
      <name val="Calibri"/>
      <b val="1"/>
      <color rgb="FF00B050"/>
      <sz val="11"/>
    </font>
    <font>
      <name val="Calibri"/>
      <color rgb="FF000000"/>
      <sz val="11"/>
    </font>
    <font>
      <name val="Calibri"/>
      <color theme="1"/>
      <scheme val="minor"/>
    </font>
    <font>
      <name val="Calibri"/>
      <color rgb="FF00B050"/>
      <scheme val="minor"/>
    </font>
  </fonts>
  <fills count="8">
    <fill>
      <patternFill/>
    </fill>
    <fill>
      <patternFill patternType="lightGray"/>
    </fill>
    <fill>
      <patternFill patternType="solid">
        <fgColor rgb="FF404040"/>
        <bgColor rgb="FF404040"/>
      </patternFill>
    </fill>
    <fill>
      <patternFill patternType="solid">
        <fgColor rgb="FFC1272D"/>
        <bgColor rgb="FFC1272D"/>
      </patternFill>
    </fill>
    <fill>
      <patternFill patternType="solid">
        <fgColor theme="0"/>
        <bgColor theme="0"/>
      </patternFill>
    </fill>
    <fill>
      <patternFill patternType="solid">
        <fgColor rgb="FFF7DDDE"/>
        <bgColor rgb="FFF7DDDE"/>
      </patternFill>
    </fill>
    <fill>
      <patternFill patternType="solid">
        <fgColor rgb="FFFFFFFF"/>
        <bgColor rgb="FFFFFFFF"/>
      </patternFill>
    </fill>
    <fill>
      <patternFill patternType="solid">
        <fgColor rgb="FFF2F2F2"/>
        <bgColor rgb="FFF2F2F2"/>
      </patternFill>
    </fill>
  </fills>
  <borders count="61">
    <border/>
    <border>
      <left/>
      <top/>
      <bottom/>
    </border>
    <border>
      <top/>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medium">
        <color rgb="FFC1272D"/>
      </left>
      <right style="thin">
        <color rgb="FF404040"/>
      </right>
      <top style="medium">
        <color rgb="FFC1272D"/>
      </top>
      <bottom style="thin">
        <color rgb="FF404040"/>
      </bottom>
    </border>
    <border>
      <left style="thin">
        <color rgb="FF404040"/>
      </left>
      <right style="thin">
        <color rgb="FF404040"/>
      </right>
      <top style="medium">
        <color rgb="FFC1272D"/>
      </top>
      <bottom style="thin">
        <color rgb="FF404040"/>
      </bottom>
    </border>
    <border>
      <left style="thin">
        <color rgb="FF000000"/>
      </left>
      <top style="thin">
        <color rgb="FF000000"/>
      </top>
      <bottom style="thin">
        <color rgb="FF000000"/>
      </bottom>
    </border>
    <border>
      <left style="thin">
        <color rgb="FF404040"/>
      </left>
      <right style="medium">
        <color rgb="FFC1272D"/>
      </right>
      <top style="medium">
        <color rgb="FFC1272D"/>
      </top>
      <bottom style="thin">
        <color rgb="FF404040"/>
      </bottom>
    </border>
    <border>
      <top style="thin">
        <color rgb="FF000000"/>
      </top>
      <bottom style="thin">
        <color rgb="FF000000"/>
      </bottom>
    </border>
    <border>
      <left style="medium">
        <color rgb="FFC1272D"/>
      </left>
      <right style="thin">
        <color rgb="FF404040"/>
      </right>
      <top style="thin">
        <color rgb="FF404040"/>
      </top>
      <bottom style="thin">
        <color rgb="FF404040"/>
      </bottom>
    </border>
    <border>
      <left style="thin">
        <color rgb="FF404040"/>
      </left>
      <right style="thin">
        <color rgb="FF404040"/>
      </right>
      <top style="thin">
        <color rgb="FF404040"/>
      </top>
      <bottom style="thin">
        <color rgb="FF404040"/>
      </bottom>
    </border>
    <border>
      <left style="thin">
        <color rgb="FF404040"/>
      </left>
      <right style="medium">
        <color rgb="FFC1272D"/>
      </right>
      <top style="thin">
        <color rgb="FF404040"/>
      </top>
      <bottom style="thin">
        <color rgb="FF404040"/>
      </bottom>
    </border>
    <border>
      <left style="medium">
        <color rgb="FFC1272D"/>
      </left>
      <right style="thin">
        <color rgb="FF404040"/>
      </right>
      <top style="thin">
        <color rgb="FF404040"/>
      </top>
      <bottom style="medium">
        <color rgb="FFC1272D"/>
      </bottom>
    </border>
    <border>
      <left style="thin">
        <color rgb="FF404040"/>
      </left>
      <right style="thin">
        <color rgb="FF404040"/>
      </right>
      <top style="thin">
        <color rgb="FF404040"/>
      </top>
      <bottom style="medium">
        <color rgb="FFC1272D"/>
      </bottom>
    </border>
    <border>
      <left style="thin">
        <color rgb="FF404040"/>
      </left>
      <right style="medium">
        <color rgb="FFC1272D"/>
      </right>
      <top style="thin">
        <color rgb="FF404040"/>
      </top>
      <bottom style="medium">
        <color rgb="FFC1272D"/>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404040"/>
      </left>
      <top style="medium">
        <color rgb="FFC1272D"/>
      </top>
      <bottom style="thin">
        <color rgb="FF404040"/>
      </bottom>
    </border>
    <border>
      <top style="medium">
        <color rgb="FFC1272D"/>
      </top>
      <bottom style="thin">
        <color rgb="FF404040"/>
      </bottom>
    </border>
    <border>
      <right style="medium">
        <color rgb="FFC1272D"/>
      </right>
      <top style="medium">
        <color rgb="FFC1272D"/>
      </top>
      <bottom style="thin">
        <color rgb="FF404040"/>
      </bottom>
    </border>
    <border>
      <left style="thin">
        <color rgb="FF404040"/>
      </left>
      <top style="thin">
        <color rgb="FF404040"/>
      </top>
      <bottom style="thin">
        <color rgb="FF404040"/>
      </bottom>
    </border>
    <border>
      <top style="thin">
        <color rgb="FF404040"/>
      </top>
      <bottom style="thin">
        <color rgb="FF404040"/>
      </bottom>
    </border>
    <border>
      <right style="medium">
        <color rgb="FFC1272D"/>
      </right>
      <top style="thin">
        <color rgb="FF404040"/>
      </top>
      <bottom style="thin">
        <color rgb="FF404040"/>
      </bottom>
    </border>
    <border>
      <left style="thin">
        <color rgb="FF404040"/>
      </left>
      <top style="thin">
        <color rgb="FF404040"/>
      </top>
      <bottom style="medium">
        <color rgb="FFC1272D"/>
      </bottom>
    </border>
    <border>
      <top style="thin">
        <color rgb="FF404040"/>
      </top>
      <bottom style="medium">
        <color rgb="FFC1272D"/>
      </bottom>
    </border>
    <border>
      <right style="medium">
        <color rgb="FFC1272D"/>
      </right>
      <top style="thin">
        <color rgb="FF404040"/>
      </top>
      <bottom style="medium">
        <color rgb="FFC1272D"/>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top/>
      <bottom/>
    </border>
    <border>
      <left style="thin">
        <color rgb="FF000000"/>
      </left>
      <right style="thin">
        <color rgb="FF000000"/>
      </right>
      <top style="thin">
        <color rgb="FF000000"/>
      </top>
      <bottom style="thin">
        <color rgb="FF000000"/>
      </bottom>
    </border>
    <border>
      <left style="medium">
        <color rgb="FFC1272D"/>
      </left>
      <right style="thin">
        <color rgb="FF404040"/>
      </right>
      <top style="thin">
        <color rgb="FF404040"/>
      </top>
      <bottom/>
    </border>
    <border>
      <left style="thin">
        <color rgb="FF404040"/>
      </left>
      <right style="thin">
        <color rgb="FF404040"/>
      </right>
      <top style="thin">
        <color rgb="FF404040"/>
      </top>
      <bottom/>
    </border>
    <border>
      <left style="thin">
        <color rgb="FF404040"/>
      </left>
      <right style="medium">
        <color rgb="FFC1272D"/>
      </right>
      <top style="thin">
        <color rgb="FF404040"/>
      </top>
      <bottom/>
    </border>
    <border>
      <top style="medium">
        <color rgb="FFC1272D"/>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medium">
        <color rgb="FFC1272D"/>
      </right>
      <top style="medium">
        <color rgb="FFC1272D"/>
      </top>
    </border>
    <border>
      <left/>
      <right style="thin">
        <color rgb="FF404040"/>
      </right>
      <top style="medium">
        <color rgb="FFC1272D"/>
      </top>
      <bottom style="thin">
        <color rgb="FF404040"/>
      </bottom>
    </border>
    <border>
      <right style="thin">
        <color rgb="FF404040"/>
      </right>
      <top style="medium">
        <color rgb="FFC1272D"/>
      </top>
      <bottom style="thin">
        <color rgb="FF404040"/>
      </bottom>
    </border>
    <border>
      <right style="medium">
        <color rgb="FFC1272D"/>
      </right>
    </border>
    <border>
      <left/>
      <right style="thin">
        <color rgb="FF404040"/>
      </right>
      <top style="thin">
        <color rgb="FF404040"/>
      </top>
      <bottom style="thin">
        <color rgb="FF404040"/>
      </bottom>
    </border>
    <border>
      <right style="thin">
        <color rgb="FF404040"/>
      </right>
      <top style="thin">
        <color rgb="FF404040"/>
      </top>
      <bottom style="thin">
        <color rgb="FF404040"/>
      </bottom>
    </border>
    <border>
      <left/>
      <right style="thin">
        <color rgb="FF404040"/>
      </right>
      <top style="thin">
        <color rgb="FF404040"/>
      </top>
      <bottom/>
    </border>
    <border>
      <left style="thin">
        <color rgb="FF404040"/>
      </left>
      <top style="thin">
        <color rgb="FF404040"/>
      </top>
      <bottom/>
    </border>
    <border>
      <right style="thin">
        <color rgb="FF404040"/>
      </right>
      <top style="thin">
        <color rgb="FF404040"/>
      </top>
      <bottom/>
    </border>
    <border>
      <top style="thin">
        <color rgb="FF404040"/>
      </top>
      <bottom/>
    </border>
    <border>
      <right style="medium">
        <color rgb="FFC1272D"/>
      </right>
      <top style="thin">
        <color rgb="FF404040"/>
      </top>
      <bottom/>
    </border>
    <border>
      <right style="thin">
        <color rgb="FF000000"/>
      </right>
    </border>
    <border>
      <left style="thin">
        <color rgb="FF000000"/>
      </left>
    </border>
    <border>
      <left style="thin">
        <color rgb="FF000000"/>
      </left>
      <right style="thin">
        <color rgb="FF000000"/>
      </right>
      <top/>
      <bottom style="thin">
        <color rgb="FF000000"/>
      </bottom>
    </border>
    <border>
      <top style="thin">
        <color rgb="FF404040"/>
      </top>
    </border>
    <border>
      <right style="medium">
        <color rgb="FFC1272D"/>
      </right>
      <top style="thin">
        <color rgb="FF404040"/>
      </top>
    </border>
    <border>
      <right style="thin">
        <color rgb="FF404040"/>
      </right>
      <top style="medium">
        <color rgb="FFC1272D"/>
      </top>
    </border>
    <border>
      <right style="thin">
        <color rgb="FF404040"/>
      </right>
      <top style="thin">
        <color rgb="FF404040"/>
      </top>
    </border>
  </borders>
  <cellStyleXfs count="1">
    <xf numFmtId="0" fontId="0" fillId="0" borderId="0"/>
  </cellStyleXfs>
  <cellXfs count="179">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3" fillId="0" borderId="4" applyAlignment="1" pivotButton="0" quotePrefix="0" xfId="0">
      <alignment horizontal="center"/>
    </xf>
    <xf numFmtId="0" fontId="2" fillId="0" borderId="5" pivotButton="0" quotePrefix="0" xfId="0"/>
    <xf numFmtId="0" fontId="2" fillId="0" borderId="6" pivotButton="0" quotePrefix="0" xfId="0"/>
    <xf numFmtId="0" fontId="3" fillId="0" borderId="5" pivotButton="0" quotePrefix="0" xfId="0"/>
    <xf numFmtId="0" fontId="1" fillId="3" borderId="1" applyAlignment="1" pivotButton="0" quotePrefix="0" xfId="0">
      <alignment horizontal="left" vertical="center"/>
    </xf>
    <xf numFmtId="0" fontId="4" fillId="3" borderId="7" applyAlignment="1" pivotButton="0" quotePrefix="0" xfId="0">
      <alignment horizontal="center" vertical="center" wrapText="1"/>
    </xf>
    <xf numFmtId="0" fontId="4" fillId="3" borderId="8" applyAlignment="1" pivotButton="0" quotePrefix="0" xfId="0">
      <alignment horizontal="center" vertical="center" wrapText="1"/>
    </xf>
    <xf numFmtId="0" fontId="5" fillId="4" borderId="9" applyAlignment="1" pivotButton="0" quotePrefix="0" xfId="0">
      <alignment horizontal="center" vertical="center"/>
    </xf>
    <xf numFmtId="0" fontId="4" fillId="3" borderId="10" applyAlignment="1" pivotButton="0" quotePrefix="0" xfId="0">
      <alignment horizontal="center" vertical="center" wrapText="1"/>
    </xf>
    <xf numFmtId="0" fontId="2" fillId="0" borderId="11" pivotButton="0" quotePrefix="0" xfId="0"/>
    <xf numFmtId="0" fontId="6" fillId="5" borderId="12" applyAlignment="1" pivotButton="0" quotePrefix="0" xfId="0">
      <alignment horizontal="center"/>
    </xf>
    <xf numFmtId="0" fontId="7" fillId="6" borderId="13" applyAlignment="1" pivotButton="0" quotePrefix="0" xfId="0">
      <alignment horizontal="center"/>
    </xf>
    <xf numFmtId="0" fontId="7" fillId="6" borderId="14" applyAlignment="1" pivotButton="0" quotePrefix="0" xfId="0">
      <alignment horizontal="center"/>
    </xf>
    <xf numFmtId="0" fontId="6" fillId="5" borderId="15" applyAlignment="1" pivotButton="0" quotePrefix="0" xfId="0">
      <alignment horizontal="center"/>
    </xf>
    <xf numFmtId="0" fontId="7" fillId="6" borderId="16" applyAlignment="1" pivotButton="0" quotePrefix="0" xfId="0">
      <alignment horizontal="center"/>
    </xf>
    <xf numFmtId="0" fontId="7" fillId="6" borderId="17" applyAlignment="1" pivotButton="0" quotePrefix="0" xfId="0">
      <alignment horizontal="center"/>
    </xf>
    <xf numFmtId="0" fontId="2" fillId="0" borderId="18" pivotButton="0" quotePrefix="0" xfId="0"/>
    <xf numFmtId="0" fontId="8" fillId="0" borderId="5" applyAlignment="1" pivotButton="0" quotePrefix="0" xfId="0">
      <alignment horizontal="left" vertical="center" wrapText="1"/>
    </xf>
    <xf numFmtId="0" fontId="9" fillId="5" borderId="1" applyAlignment="1" pivotButton="0" quotePrefix="0" xfId="0">
      <alignment horizontal="left" vertical="center"/>
    </xf>
    <xf numFmtId="0" fontId="2" fillId="0" borderId="19" pivotButton="0" quotePrefix="0" xfId="0"/>
    <xf numFmtId="0" fontId="2" fillId="0" borderId="20" pivotButton="0" quotePrefix="0" xfId="0"/>
    <xf numFmtId="0" fontId="1" fillId="3" borderId="7" applyAlignment="1" pivotButton="0" quotePrefix="0" xfId="0">
      <alignment horizontal="center" vertical="center"/>
    </xf>
    <xf numFmtId="0" fontId="2" fillId="0" borderId="21" pivotButton="0" quotePrefix="0" xfId="0"/>
    <xf numFmtId="0" fontId="3" fillId="0" borderId="20" pivotButton="0" quotePrefix="0" xfId="0"/>
    <xf numFmtId="0" fontId="1" fillId="3" borderId="22" applyAlignment="1" pivotButton="0" quotePrefix="0" xfId="0">
      <alignment horizontal="center" vertical="center"/>
    </xf>
    <xf numFmtId="0" fontId="2" fillId="0" borderId="23" pivotButton="0" quotePrefix="0" xfId="0"/>
    <xf numFmtId="0" fontId="2" fillId="0" borderId="24" pivotButton="0" quotePrefix="0" xfId="0"/>
    <xf numFmtId="0" fontId="5" fillId="0" borderId="9" applyAlignment="1" pivotButton="0" quotePrefix="0" xfId="0">
      <alignment horizontal="center" vertical="center" wrapText="1"/>
    </xf>
    <xf numFmtId="0" fontId="6" fillId="5" borderId="12" applyAlignment="1" pivotButton="0" quotePrefix="0" xfId="0">
      <alignment horizontal="center" vertical="center"/>
    </xf>
    <xf numFmtId="0" fontId="7" fillId="6" borderId="25" applyAlignment="1" pivotButton="0" quotePrefix="0" xfId="0">
      <alignment horizontal="left" vertical="center" wrapText="1"/>
    </xf>
    <xf numFmtId="0" fontId="2" fillId="0" borderId="26" pivotButton="0" quotePrefix="0" xfId="0"/>
    <xf numFmtId="0" fontId="2" fillId="0" borderId="27" pivotButton="0" quotePrefix="0" xfId="0"/>
    <xf numFmtId="0" fontId="7" fillId="7" borderId="25" applyAlignment="1" pivotButton="0" quotePrefix="0" xfId="0">
      <alignment horizontal="left" vertical="center" wrapText="1"/>
    </xf>
    <xf numFmtId="0" fontId="6" fillId="5" borderId="15" applyAlignment="1" pivotButton="0" quotePrefix="0" xfId="0">
      <alignment horizontal="center" vertical="center"/>
    </xf>
    <xf numFmtId="0" fontId="7" fillId="6" borderId="28" applyAlignment="1" pivotButton="0" quotePrefix="0" xfId="0">
      <alignment horizontal="left" vertical="center" wrapText="1"/>
    </xf>
    <xf numFmtId="0" fontId="2" fillId="0" borderId="29" pivotButton="0" quotePrefix="0" xfId="0"/>
    <xf numFmtId="0" fontId="2" fillId="0" borderId="30" pivotButton="0" quotePrefix="0" xfId="0"/>
    <xf numFmtId="0" fontId="10" fillId="4" borderId="31" applyAlignment="1" pivotButton="0" quotePrefix="0" xfId="0">
      <alignment horizontal="center" vertical="center"/>
    </xf>
    <xf numFmtId="0" fontId="2" fillId="0" borderId="32" pivotButton="0" quotePrefix="0" xfId="0"/>
    <xf numFmtId="0" fontId="11" fillId="5" borderId="1" applyAlignment="1" pivotButton="0" quotePrefix="0" xfId="0">
      <alignment horizontal="left" vertical="center"/>
    </xf>
    <xf numFmtId="0" fontId="4" fillId="3" borderId="7" applyAlignment="1" pivotButton="0" quotePrefix="0" xfId="0">
      <alignment horizontal="center" vertical="center"/>
    </xf>
    <xf numFmtId="0" fontId="2" fillId="0" borderId="33" pivotButton="0" quotePrefix="0" xfId="0"/>
    <xf numFmtId="0" fontId="4" fillId="3" borderId="22" applyAlignment="1" pivotButton="0" quotePrefix="0" xfId="0">
      <alignment horizontal="center" vertical="center"/>
    </xf>
    <xf numFmtId="0" fontId="12" fillId="0" borderId="19" applyAlignment="1" pivotButton="0" quotePrefix="0" xfId="0">
      <alignment horizontal="center" vertical="center"/>
    </xf>
    <xf numFmtId="0" fontId="13" fillId="0" borderId="9" applyAlignment="1" pivotButton="0" quotePrefix="0" xfId="0">
      <alignment horizontal="center" vertical="center"/>
    </xf>
    <xf numFmtId="0" fontId="4" fillId="3" borderId="1" applyAlignment="1" pivotButton="0" quotePrefix="0" xfId="0">
      <alignment horizontal="left" vertical="center"/>
    </xf>
    <xf numFmtId="0" fontId="14" fillId="0" borderId="20" applyAlignment="1" pivotButton="0" quotePrefix="0" xfId="0">
      <alignment horizontal="center" vertical="center"/>
    </xf>
    <xf numFmtId="0" fontId="6" fillId="6" borderId="12" applyAlignment="1" pivotButton="0" quotePrefix="0" xfId="0">
      <alignment horizontal="center" vertical="center" wrapText="1"/>
    </xf>
    <xf numFmtId="0" fontId="7" fillId="6" borderId="13" applyAlignment="1" pivotButton="0" quotePrefix="0" xfId="0">
      <alignment horizontal="center" vertical="center" wrapText="1"/>
    </xf>
    <xf numFmtId="0" fontId="7" fillId="6" borderId="13" applyAlignment="1" pivotButton="0" quotePrefix="0" xfId="0">
      <alignment horizontal="left" vertical="center" wrapText="1"/>
    </xf>
    <xf numFmtId="0" fontId="3" fillId="4" borderId="34" pivotButton="0" quotePrefix="0" xfId="0"/>
    <xf numFmtId="0" fontId="7" fillId="6" borderId="14" applyAlignment="1" pivotButton="0" quotePrefix="0" xfId="0">
      <alignment horizontal="left" vertical="center" wrapText="1"/>
    </xf>
    <xf numFmtId="0" fontId="6" fillId="7" borderId="12" applyAlignment="1" pivotButton="0" quotePrefix="0" xfId="0">
      <alignment horizontal="center" vertical="center" wrapText="1"/>
    </xf>
    <xf numFmtId="0" fontId="7" fillId="7" borderId="13" applyAlignment="1" pivotButton="0" quotePrefix="0" xfId="0">
      <alignment horizontal="center" vertical="center" wrapText="1"/>
    </xf>
    <xf numFmtId="0" fontId="15" fillId="4" borderId="35" applyAlignment="1" pivotButton="0" quotePrefix="0" xfId="0">
      <alignment horizontal="center" vertical="center" wrapText="1"/>
    </xf>
    <xf numFmtId="0" fontId="7" fillId="7" borderId="13" applyAlignment="1" pivotButton="0" quotePrefix="0" xfId="0">
      <alignment horizontal="left" vertical="center" wrapText="1"/>
    </xf>
    <xf numFmtId="0" fontId="7" fillId="7" borderId="14" applyAlignment="1" pivotButton="0" quotePrefix="0" xfId="0">
      <alignment horizontal="left" vertical="center" wrapText="1"/>
    </xf>
    <xf numFmtId="0" fontId="6" fillId="7" borderId="36" applyAlignment="1" pivotButton="0" quotePrefix="0" xfId="0">
      <alignment horizontal="center" vertical="center" wrapText="1"/>
    </xf>
    <xf numFmtId="0" fontId="16" fillId="4" borderId="35" applyAlignment="1" pivotButton="0" quotePrefix="0" xfId="0">
      <alignment horizontal="center" vertical="center" wrapText="1"/>
    </xf>
    <xf numFmtId="0" fontId="7" fillId="7" borderId="37" applyAlignment="1" pivotButton="0" quotePrefix="0" xfId="0">
      <alignment horizontal="center" vertical="center" wrapText="1"/>
    </xf>
    <xf numFmtId="0" fontId="7" fillId="7" borderId="37" applyAlignment="1" pivotButton="0" quotePrefix="0" xfId="0">
      <alignment horizontal="left" vertical="center" wrapText="1"/>
    </xf>
    <xf numFmtId="0" fontId="7" fillId="7" borderId="38" applyAlignment="1" pivotButton="0" quotePrefix="0" xfId="0">
      <alignment horizontal="left" vertical="center" wrapText="1"/>
    </xf>
    <xf numFmtId="0" fontId="17" fillId="0" borderId="39" applyAlignment="1" pivotButton="0" quotePrefix="0" xfId="0">
      <alignment horizontal="center" wrapText="1"/>
    </xf>
    <xf numFmtId="0" fontId="2" fillId="0" borderId="39" pivotButton="0" quotePrefix="0" xfId="0"/>
    <xf numFmtId="0" fontId="18" fillId="4" borderId="40" applyAlignment="1" pivotButton="0" quotePrefix="0" xfId="0">
      <alignment horizontal="center" vertical="center" wrapText="1"/>
    </xf>
    <xf numFmtId="0" fontId="19" fillId="4" borderId="41" applyAlignment="1" pivotButton="0" quotePrefix="0" xfId="0">
      <alignment horizontal="center" vertical="center" wrapText="1"/>
    </xf>
    <xf numFmtId="0" fontId="7" fillId="6" borderId="12" applyAlignment="1" pivotButton="0" quotePrefix="0" xfId="0">
      <alignment horizontal="left" vertical="center" wrapText="1"/>
    </xf>
    <xf numFmtId="0" fontId="20" fillId="4" borderId="34" applyAlignment="1" pivotButton="0" quotePrefix="0" xfId="0">
      <alignment wrapText="1"/>
    </xf>
    <xf numFmtId="0" fontId="7" fillId="7" borderId="12" applyAlignment="1" pivotButton="0" quotePrefix="0" xfId="0">
      <alignment horizontal="left" vertical="center" wrapText="1"/>
    </xf>
    <xf numFmtId="0" fontId="3" fillId="0" borderId="42" applyAlignment="1" pivotButton="0" quotePrefix="0" xfId="0">
      <alignment horizontal="center" vertical="center"/>
    </xf>
    <xf numFmtId="164" fontId="3" fillId="0" borderId="42" applyAlignment="1" pivotButton="0" quotePrefix="0" xfId="0">
      <alignment vertical="center"/>
    </xf>
    <xf numFmtId="20" fontId="3" fillId="0" borderId="42" applyAlignment="1" pivotButton="0" quotePrefix="0" xfId="0">
      <alignment vertical="center"/>
    </xf>
    <xf numFmtId="0" fontId="3" fillId="0" borderId="42" applyAlignment="1" pivotButton="0" quotePrefix="0" xfId="0">
      <alignment vertical="center" wrapText="1"/>
    </xf>
    <xf numFmtId="0" fontId="3" fillId="0" borderId="42" applyAlignment="1" pivotButton="0" quotePrefix="0" xfId="0">
      <alignment vertical="center"/>
    </xf>
    <xf numFmtId="0" fontId="7" fillId="7" borderId="15" applyAlignment="1" pivotButton="0" quotePrefix="0" xfId="0">
      <alignment horizontal="left" vertical="center" wrapText="1"/>
    </xf>
    <xf numFmtId="0" fontId="7" fillId="7" borderId="16" applyAlignment="1" pivotButton="0" quotePrefix="0" xfId="0">
      <alignment horizontal="left" vertical="center" wrapText="1"/>
    </xf>
    <xf numFmtId="0" fontId="7" fillId="7" borderId="17" applyAlignment="1" pivotButton="0" quotePrefix="0" xfId="0">
      <alignment horizontal="left" vertical="center" wrapText="1"/>
    </xf>
    <xf numFmtId="0" fontId="21" fillId="0" borderId="42" applyAlignment="1" pivotButton="0" quotePrefix="0" xfId="0">
      <alignment vertical="center"/>
    </xf>
    <xf numFmtId="0" fontId="4" fillId="3" borderId="1" applyAlignment="1" pivotButton="0" quotePrefix="0" xfId="0">
      <alignment horizontal="left"/>
    </xf>
    <xf numFmtId="0" fontId="3" fillId="0" borderId="43" pivotButton="0" quotePrefix="0" xfId="0"/>
    <xf numFmtId="0" fontId="4" fillId="3" borderId="44" applyAlignment="1" pivotButton="0" quotePrefix="0" xfId="0">
      <alignment horizontal="center" vertical="center" wrapText="1"/>
    </xf>
    <xf numFmtId="0" fontId="4" fillId="3" borderId="22" applyAlignment="1" pivotButton="0" quotePrefix="0" xfId="0">
      <alignment horizontal="center" vertical="center" wrapText="1"/>
    </xf>
    <xf numFmtId="0" fontId="2" fillId="0" borderId="45" pivotButton="0" quotePrefix="0" xfId="0"/>
    <xf numFmtId="0" fontId="3" fillId="0" borderId="46" pivotButton="0" quotePrefix="0" xfId="0"/>
    <xf numFmtId="0" fontId="6" fillId="7" borderId="47" applyAlignment="1" pivotButton="0" quotePrefix="0" xfId="0">
      <alignment horizontal="left" vertical="center" wrapText="1"/>
    </xf>
    <xf numFmtId="0" fontId="2" fillId="0" borderId="48" pivotButton="0" quotePrefix="0" xfId="0"/>
    <xf numFmtId="0" fontId="6" fillId="6" borderId="47" applyAlignment="1" pivotButton="0" quotePrefix="0" xfId="0">
      <alignment horizontal="left" vertical="center" wrapText="1"/>
    </xf>
    <xf numFmtId="0" fontId="3" fillId="0" borderId="42" applyAlignment="1" pivotButton="0" quotePrefix="0" xfId="0">
      <alignment vertical="center"/>
    </xf>
    <xf numFmtId="0" fontId="22" fillId="0" borderId="42" applyAlignment="1" pivotButton="0" quotePrefix="0" xfId="0">
      <alignment vertical="center"/>
    </xf>
    <xf numFmtId="164" fontId="3" fillId="0" borderId="35" applyAlignment="1" pivotButton="0" quotePrefix="0" xfId="0">
      <alignment horizontal="center" vertical="center"/>
    </xf>
    <xf numFmtId="20" fontId="3" fillId="0" borderId="35" applyAlignment="1" pivotButton="0" quotePrefix="0" xfId="0">
      <alignment horizontal="center" vertical="center"/>
    </xf>
    <xf numFmtId="165" fontId="3" fillId="0" borderId="35" applyAlignment="1" pivotButton="0" quotePrefix="0" xfId="0">
      <alignment horizontal="center" vertical="center"/>
    </xf>
    <xf numFmtId="0" fontId="6" fillId="6" borderId="49" applyAlignment="1" pivotButton="0" quotePrefix="0" xfId="0">
      <alignment horizontal="left" vertical="center" wrapText="1"/>
    </xf>
    <xf numFmtId="0" fontId="7" fillId="6" borderId="50" applyAlignment="1" pivotButton="0" quotePrefix="0" xfId="0">
      <alignment horizontal="left" vertical="center" wrapText="1"/>
    </xf>
    <xf numFmtId="164" fontId="3" fillId="0" borderId="21" applyAlignment="1" pivotButton="0" quotePrefix="0" xfId="0">
      <alignment vertical="center"/>
    </xf>
    <xf numFmtId="0" fontId="2" fillId="0" borderId="51" pivotButton="0" quotePrefix="0" xfId="0"/>
    <xf numFmtId="0" fontId="2" fillId="0" borderId="52" pivotButton="0" quotePrefix="0" xfId="0"/>
    <xf numFmtId="0" fontId="2" fillId="0" borderId="53" pivotButton="0" quotePrefix="0" xfId="0"/>
    <xf numFmtId="0" fontId="3" fillId="0" borderId="39" pivotButton="0" quotePrefix="0" xfId="0"/>
    <xf numFmtId="165" fontId="3" fillId="0" borderId="42" applyAlignment="1" pivotButton="0" quotePrefix="0" xfId="0">
      <alignment horizontal="center" vertical="center"/>
    </xf>
    <xf numFmtId="0" fontId="3" fillId="0" borderId="42" applyAlignment="1" pivotButton="0" quotePrefix="0" xfId="0">
      <alignment horizontal="center" vertical="center"/>
    </xf>
    <xf numFmtId="0" fontId="3" fillId="0" borderId="0" applyAlignment="1" pivotButton="0" quotePrefix="0" xfId="0">
      <alignment vertical="center"/>
    </xf>
    <xf numFmtId="0" fontId="3" fillId="0" borderId="35" applyAlignment="1" pivotButton="0" quotePrefix="0" xfId="0">
      <alignment horizontal="center" vertical="center"/>
    </xf>
    <xf numFmtId="166" fontId="3" fillId="0" borderId="35" applyAlignment="1" pivotButton="0" quotePrefix="0" xfId="0">
      <alignment vertical="center"/>
    </xf>
    <xf numFmtId="20" fontId="3" fillId="0" borderId="35" applyAlignment="1" pivotButton="0" quotePrefix="0" xfId="0">
      <alignment vertical="center"/>
    </xf>
    <xf numFmtId="0" fontId="3" fillId="0" borderId="35" applyAlignment="1" pivotButton="0" quotePrefix="0" xfId="0">
      <alignment vertical="center"/>
    </xf>
    <xf numFmtId="0" fontId="21" fillId="0" borderId="35" applyAlignment="1" pivotButton="0" quotePrefix="0" xfId="0">
      <alignment vertical="center"/>
    </xf>
    <xf numFmtId="0" fontId="3" fillId="0" borderId="35" applyAlignment="1" pivotButton="0" quotePrefix="0" xfId="0">
      <alignment vertical="center"/>
    </xf>
    <xf numFmtId="164" fontId="3" fillId="0" borderId="18" applyAlignment="1" pivotButton="0" quotePrefix="0" xfId="0">
      <alignment vertical="center"/>
    </xf>
    <xf numFmtId="0" fontId="3" fillId="0" borderId="35" applyAlignment="1" pivotButton="0" quotePrefix="0" xfId="0">
      <alignment horizontal="center" vertical="center"/>
    </xf>
    <xf numFmtId="0" fontId="3" fillId="0" borderId="35" applyAlignment="1" pivotButton="0" quotePrefix="0" xfId="0">
      <alignment vertical="center" wrapText="1"/>
    </xf>
    <xf numFmtId="0" fontId="3" fillId="0" borderId="9" applyAlignment="1" pivotButton="0" quotePrefix="0" xfId="0">
      <alignment vertical="center"/>
    </xf>
    <xf numFmtId="165" fontId="3" fillId="0" borderId="35" applyAlignment="1" pivotButton="0" quotePrefix="0" xfId="0">
      <alignment horizontal="center" vertical="center"/>
    </xf>
    <xf numFmtId="167" fontId="3" fillId="0" borderId="35" applyAlignment="1" pivotButton="0" quotePrefix="0" xfId="0">
      <alignment vertical="center"/>
    </xf>
    <xf numFmtId="21" fontId="3" fillId="0" borderId="35" applyAlignment="1" pivotButton="0" quotePrefix="0" xfId="0">
      <alignment vertical="center"/>
    </xf>
    <xf numFmtId="0" fontId="23" fillId="0" borderId="35" applyAlignment="1" pivotButton="0" quotePrefix="0" xfId="0">
      <alignment horizontal="center" vertical="center"/>
    </xf>
    <xf numFmtId="20" fontId="23" fillId="0" borderId="35" applyAlignment="1" pivotButton="0" quotePrefix="0" xfId="0">
      <alignment vertical="center"/>
    </xf>
    <xf numFmtId="0" fontId="23" fillId="0" borderId="35" applyAlignment="1" pivotButton="0" quotePrefix="0" xfId="0">
      <alignment wrapText="1"/>
    </xf>
    <xf numFmtId="0" fontId="23" fillId="0" borderId="35" applyAlignment="1" pivotButton="0" quotePrefix="0" xfId="0">
      <alignment vertical="center" wrapText="1"/>
    </xf>
    <xf numFmtId="0" fontId="23" fillId="0" borderId="0" applyAlignment="1" pivotButton="0" quotePrefix="0" xfId="0">
      <alignment wrapText="1"/>
    </xf>
    <xf numFmtId="165" fontId="23" fillId="0" borderId="35" applyAlignment="1" pivotButton="0" quotePrefix="0" xfId="0">
      <alignment horizontal="center" vertical="center" wrapText="1"/>
    </xf>
    <xf numFmtId="0" fontId="23" fillId="0" borderId="35" applyAlignment="1" pivotButton="0" quotePrefix="0" xfId="0">
      <alignment horizontal="center" vertical="center"/>
    </xf>
    <xf numFmtId="166" fontId="23" fillId="0" borderId="35" applyAlignment="1" pivotButton="0" quotePrefix="0" xfId="0">
      <alignment vertical="center"/>
    </xf>
    <xf numFmtId="0" fontId="23" fillId="0" borderId="35" applyAlignment="1" pivotButton="0" quotePrefix="0" xfId="0">
      <alignment vertical="center"/>
    </xf>
    <xf numFmtId="0" fontId="24" fillId="0" borderId="35" applyAlignment="1" pivotButton="0" quotePrefix="0" xfId="0">
      <alignment vertical="center"/>
    </xf>
    <xf numFmtId="0" fontId="23" fillId="0" borderId="35" applyAlignment="1" pivotButton="0" quotePrefix="0" xfId="0">
      <alignment vertical="center"/>
    </xf>
    <xf numFmtId="3" fontId="23" fillId="0" borderId="35" applyAlignment="1" pivotButton="0" quotePrefix="0" xfId="0">
      <alignment vertical="center" wrapText="1"/>
    </xf>
    <xf numFmtId="0" fontId="23" fillId="0" borderId="35" applyAlignment="1" pivotButton="0" quotePrefix="0" xfId="0">
      <alignment horizontal="left" vertical="center" wrapText="1"/>
    </xf>
    <xf numFmtId="166" fontId="3" fillId="0" borderId="35" applyAlignment="1" pivotButton="0" quotePrefix="0" xfId="0">
      <alignment horizontal="center" vertical="center"/>
    </xf>
    <xf numFmtId="0" fontId="23" fillId="0" borderId="0" applyAlignment="1" pivotButton="0" quotePrefix="0" xfId="0">
      <alignment vertical="center"/>
    </xf>
    <xf numFmtId="3" fontId="23" fillId="0" borderId="35" applyAlignment="1" pivotButton="0" quotePrefix="0" xfId="0">
      <alignment horizontal="left" vertical="center" wrapText="1"/>
    </xf>
    <xf numFmtId="168" fontId="3" fillId="0" borderId="42" applyAlignment="1" pivotButton="0" quotePrefix="0" xfId="0">
      <alignment vertical="center"/>
    </xf>
    <xf numFmtId="165" fontId="3" fillId="0" borderId="42" applyAlignment="1" pivotButton="0" quotePrefix="0" xfId="0">
      <alignment horizontal="center" vertical="center"/>
    </xf>
    <xf numFmtId="0" fontId="23" fillId="0" borderId="0" pivotButton="0" quotePrefix="0" xfId="0"/>
    <xf numFmtId="169" fontId="3" fillId="0" borderId="0" pivotButton="0" quotePrefix="0" xfId="0"/>
    <xf numFmtId="0" fontId="0" fillId="0" borderId="0" pivotButton="0" quotePrefix="0" xfId="0"/>
    <xf numFmtId="0" fontId="3" fillId="0" borderId="35" applyAlignment="1" pivotButton="0" quotePrefix="0" xfId="0">
      <alignment horizontal="center"/>
    </xf>
    <xf numFmtId="0" fontId="0" fillId="0" borderId="5" pivotButton="0" quotePrefix="0" xfId="0"/>
    <xf numFmtId="0" fontId="0" fillId="0" borderId="6" pivotButton="0" quotePrefix="0" xfId="0"/>
    <xf numFmtId="0" fontId="5" fillId="4" borderId="35" applyAlignment="1" pivotButton="0" quotePrefix="0" xfId="0">
      <alignment horizontal="center" vertical="center"/>
    </xf>
    <xf numFmtId="0" fontId="0" fillId="0" borderId="11" pivotButton="0" quotePrefix="0" xfId="0"/>
    <xf numFmtId="0" fontId="0" fillId="0" borderId="18" pivotButton="0" quotePrefix="0" xfId="0"/>
    <xf numFmtId="0" fontId="8"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0" fillId="0" borderId="21" pivotButton="0" quotePrefix="0" xfId="0"/>
    <xf numFmtId="0" fontId="5" fillId="0" borderId="35" applyAlignment="1" pivotButton="0" quotePrefix="0" xfId="0">
      <alignment horizontal="center" vertical="center" wrapText="1"/>
    </xf>
    <xf numFmtId="0" fontId="10" fillId="4" borderId="56" applyAlignment="1" pivotButton="0" quotePrefix="0" xfId="0">
      <alignment horizontal="center" vertical="center"/>
    </xf>
    <xf numFmtId="0" fontId="12" fillId="0" borderId="42" applyAlignment="1" pivotButton="0" quotePrefix="0" xfId="0">
      <alignment horizontal="center" vertical="center"/>
    </xf>
    <xf numFmtId="0" fontId="13" fillId="0" borderId="35" applyAlignment="1" pivotButton="0" quotePrefix="0" xfId="0">
      <alignment horizontal="center" vertical="center"/>
    </xf>
    <xf numFmtId="0" fontId="14" fillId="0" borderId="21" applyAlignment="1" pivotButton="0" quotePrefix="0" xfId="0">
      <alignment horizontal="center" vertical="center"/>
    </xf>
    <xf numFmtId="0" fontId="1" fillId="2" borderId="34" applyAlignment="1" pivotButton="0" quotePrefix="0" xfId="0">
      <alignment horizontal="center" vertical="center"/>
    </xf>
    <xf numFmtId="0" fontId="1" fillId="3" borderId="34" applyAlignment="1" pivotButton="0" quotePrefix="0" xfId="0">
      <alignment horizontal="left" vertical="center"/>
    </xf>
    <xf numFmtId="0" fontId="9" fillId="5" borderId="34" applyAlignment="1" pivotButton="0" quotePrefix="0" xfId="0">
      <alignment horizontal="left" vertical="center"/>
    </xf>
    <xf numFmtId="0" fontId="1" fillId="3" borderId="10" applyAlignment="1" pivotButton="0" quotePrefix="0" xfId="0">
      <alignment horizontal="center" vertical="center"/>
    </xf>
    <xf numFmtId="0" fontId="0" fillId="0" borderId="23" pivotButton="0" quotePrefix="0" xfId="0"/>
    <xf numFmtId="0" fontId="0" fillId="0" borderId="24" pivotButton="0" quotePrefix="0" xfId="0"/>
    <xf numFmtId="0" fontId="0" fillId="0" borderId="26" pivotButton="0" quotePrefix="0" xfId="0"/>
    <xf numFmtId="0" fontId="0" fillId="0" borderId="27" pivotButton="0" quotePrefix="0" xfId="0"/>
    <xf numFmtId="0" fontId="7" fillId="6" borderId="17" applyAlignment="1" pivotButton="0" quotePrefix="0" xfId="0">
      <alignment horizontal="left" vertical="center" wrapText="1"/>
    </xf>
    <xf numFmtId="0" fontId="0" fillId="0" borderId="29" pivotButton="0" quotePrefix="0" xfId="0"/>
    <xf numFmtId="0" fontId="0" fillId="0" borderId="30" pivotButton="0" quotePrefix="0" xfId="0"/>
    <xf numFmtId="0" fontId="11" fillId="5" borderId="34" applyAlignment="1" pivotButton="0" quotePrefix="0" xfId="0">
      <alignment horizontal="left" vertical="center"/>
    </xf>
    <xf numFmtId="0" fontId="4" fillId="3" borderId="10" applyAlignment="1" pivotButton="0" quotePrefix="0" xfId="0">
      <alignment horizontal="center" vertical="center"/>
    </xf>
    <xf numFmtId="0" fontId="4" fillId="3" borderId="34" applyAlignment="1" pivotButton="0" quotePrefix="0" xfId="0">
      <alignment horizontal="left" vertical="center"/>
    </xf>
    <xf numFmtId="0" fontId="0" fillId="0" borderId="39" pivotButton="0" quotePrefix="0" xfId="0"/>
    <xf numFmtId="0" fontId="4" fillId="3" borderId="34" applyAlignment="1" pivotButton="0" quotePrefix="0" xfId="0">
      <alignment horizontal="left"/>
    </xf>
    <xf numFmtId="0" fontId="0" fillId="0" borderId="45" pivotButton="0" quotePrefix="0" xfId="0"/>
    <xf numFmtId="0" fontId="0" fillId="0" borderId="48" pivotButton="0" quotePrefix="0" xfId="0"/>
    <xf numFmtId="0" fontId="7" fillId="6" borderId="37" applyAlignment="1" pivotButton="0" quotePrefix="0" xfId="0">
      <alignment horizontal="left" vertical="center" wrapText="1"/>
    </xf>
    <xf numFmtId="0" fontId="0" fillId="0" borderId="60" pivotButton="0" quotePrefix="0" xfId="0"/>
    <xf numFmtId="0" fontId="7" fillId="6" borderId="38" applyAlignment="1" pivotButton="0" quotePrefix="0" xfId="0">
      <alignment horizontal="left" vertical="center" wrapText="1"/>
    </xf>
    <xf numFmtId="0" fontId="0" fillId="0" borderId="57" pivotButton="0" quotePrefix="0" xfId="0"/>
    <xf numFmtId="0" fontId="0" fillId="0" borderId="58"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0</col>
      <colOff>1000125</colOff>
      <row>0</row>
      <rowOff>57150</rowOff>
    </from>
    <ext cx="1085850" cy="990600"/>
    <pic>
      <nvPicPr>
        <cNvPr id="0"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V24"/>
  <sheetViews>
    <sheetView workbookViewId="0">
      <selection activeCell="A1" sqref="A1"/>
    </sheetView>
  </sheetViews>
  <sheetFormatPr baseColWidth="8" defaultColWidth="14.43" defaultRowHeight="15" customHeight="1"/>
  <cols>
    <col width="19.86" customWidth="1" style="140" min="1" max="1"/>
    <col width="14.14" customWidth="1" style="140" min="2" max="2"/>
    <col width="15.57" customWidth="1" style="140" min="3" max="3"/>
    <col width="63.29" customWidth="1" style="140" min="4" max="4"/>
    <col width="23.71" customWidth="1" style="140" min="5" max="5"/>
    <col width="35.71" customWidth="1" style="140" min="6" max="6"/>
    <col width="12.29" customWidth="1" style="140" min="7" max="7"/>
    <col width="22.43" customWidth="1" style="140" min="8" max="8"/>
    <col width="20.29" customWidth="1" style="140" min="9" max="10"/>
    <col width="16.71" customWidth="1" style="140" min="11" max="11"/>
    <col width="37.29" customWidth="1" style="140" min="12" max="12"/>
    <col width="19.43" customWidth="1" style="140" min="13" max="13"/>
    <col width="25.14" customWidth="1" style="140" min="14" max="14"/>
    <col width="23.29" customWidth="1" style="140" min="15" max="15"/>
    <col width="31.57" customWidth="1" style="140" min="16" max="16"/>
    <col width="37" customWidth="1" style="140" min="17" max="17"/>
    <col width="41.43" customWidth="1" style="140" min="18" max="18"/>
    <col width="26.29" customWidth="1" style="140" min="19" max="19"/>
    <col width="25.57" customWidth="1" style="140" min="20" max="20"/>
    <col width="20.29" customWidth="1" style="140" min="21" max="21"/>
    <col width="24.43" customWidth="1" style="140" min="22" max="22"/>
    <col width="68.86" customWidth="1" style="140" min="23" max="24"/>
    <col width="23.57" customWidth="1" style="140" min="25" max="25"/>
    <col width="22.71" customWidth="1" style="140" min="26" max="26"/>
    <col width="20.29" customWidth="1" style="140" min="27" max="27"/>
    <col width="19.71" customWidth="1" style="140" min="28" max="28"/>
    <col width="30.71" customWidth="1" style="140" min="29" max="29"/>
    <col width="27.71" customWidth="1" style="140" min="30" max="30"/>
    <col width="20.29" customWidth="1" style="140" min="31" max="32"/>
    <col width="18.57" customWidth="1" style="140" min="33" max="33"/>
    <col width="14.29" customWidth="1" style="140" min="34" max="34"/>
    <col width="37" customWidth="1" style="140" min="35" max="35"/>
    <col width="20.29" customWidth="1" style="140" min="36" max="37"/>
    <col width="37.86" customWidth="1" style="140" min="38" max="38"/>
    <col width="22.57" customWidth="1" style="140" min="39" max="39"/>
    <col width="24.86" customWidth="1" style="140" min="40" max="40"/>
    <col width="10.71" customWidth="1" style="140" min="41" max="48"/>
  </cols>
  <sheetData>
    <row r="1" ht="45" customHeight="1" s="140">
      <c r="A1" s="141" t="n"/>
      <c r="B1" s="142" t="n"/>
      <c r="C1" s="143" t="n"/>
      <c r="D1" s="8" t="n"/>
      <c r="E1" s="144" t="n"/>
      <c r="F1" s="145" t="n"/>
      <c r="G1" s="145" t="n"/>
      <c r="H1" s="145" t="n"/>
      <c r="I1" s="145" t="n"/>
      <c r="J1" s="145" t="n"/>
      <c r="K1" s="145" t="n"/>
      <c r="L1" s="145" t="n"/>
      <c r="M1" s="145" t="n"/>
      <c r="N1" s="145" t="n"/>
      <c r="O1" s="145" t="n"/>
      <c r="P1" s="145" t="n"/>
      <c r="Q1" s="145" t="n"/>
      <c r="R1" s="145" t="n"/>
      <c r="S1" s="145" t="n"/>
      <c r="T1" s="145" t="n"/>
      <c r="U1" s="145" t="n"/>
      <c r="V1" s="145" t="n"/>
      <c r="W1" s="145" t="n"/>
      <c r="X1" s="145" t="n"/>
      <c r="Y1" s="145" t="n"/>
      <c r="Z1" s="145" t="n"/>
      <c r="AA1" s="145" t="n"/>
      <c r="AB1" s="145" t="n"/>
      <c r="AC1" s="145" t="n"/>
      <c r="AD1" s="145" t="n"/>
      <c r="AE1" s="145" t="n"/>
      <c r="AF1" s="145" t="n"/>
      <c r="AG1" s="145" t="n"/>
      <c r="AH1" s="145" t="n"/>
      <c r="AI1" s="145" t="n"/>
      <c r="AJ1" s="145" t="n"/>
      <c r="AK1" s="145" t="n"/>
      <c r="AL1" s="146" t="n"/>
      <c r="AM1" s="147" t="inlineStr">
        <is>
          <t xml:space="preserve">FL-THN-POS-01
Rev: 03
</t>
        </is>
      </c>
      <c r="AN1" s="143" t="n"/>
    </row>
    <row r="2" ht="45" customHeight="1" s="140">
      <c r="A2" s="148" t="n"/>
      <c r="B2" s="149" t="n"/>
      <c r="C2" s="150" t="n"/>
      <c r="D2" s="28" t="n"/>
      <c r="E2" s="151" t="inlineStr">
        <is>
          <t>REGISTRO DE INCIDENCIAS DE SEGURIDAD</t>
        </is>
      </c>
      <c r="F2" s="145" t="n"/>
      <c r="G2" s="145" t="n"/>
      <c r="H2" s="145" t="n"/>
      <c r="I2" s="145" t="n"/>
      <c r="J2" s="145" t="n"/>
      <c r="K2" s="145" t="n"/>
      <c r="L2" s="145" t="n"/>
      <c r="M2" s="145" t="n"/>
      <c r="N2" s="145" t="n"/>
      <c r="O2" s="145" t="n"/>
      <c r="P2" s="145" t="n"/>
      <c r="Q2" s="145" t="n"/>
      <c r="R2" s="145" t="n"/>
      <c r="S2" s="145" t="n"/>
      <c r="T2" s="145" t="n"/>
      <c r="U2" s="145" t="n"/>
      <c r="V2" s="145" t="n"/>
      <c r="W2" s="145" t="n"/>
      <c r="X2" s="145" t="n"/>
      <c r="Y2" s="145" t="n"/>
      <c r="Z2" s="145" t="n"/>
      <c r="AA2" s="145" t="n"/>
      <c r="AB2" s="145" t="n"/>
      <c r="AC2" s="145" t="n"/>
      <c r="AD2" s="145" t="n"/>
      <c r="AE2" s="145" t="n"/>
      <c r="AF2" s="145" t="n"/>
      <c r="AG2" s="145" t="n"/>
      <c r="AH2" s="145" t="n"/>
      <c r="AI2" s="145" t="n"/>
      <c r="AJ2" s="145" t="n"/>
      <c r="AK2" s="145" t="n"/>
      <c r="AL2" s="146" t="n"/>
      <c r="AM2" s="149" t="n"/>
      <c r="AN2" s="150" t="n"/>
    </row>
    <row r="3" ht="30" customHeight="1" s="140">
      <c r="A3" s="152" t="inlineStr">
        <is>
          <t>INICIO</t>
        </is>
      </c>
      <c r="B3" s="149" t="n"/>
      <c r="C3" s="149" t="n"/>
      <c r="D3" s="149" t="n"/>
      <c r="E3" s="149" t="n"/>
      <c r="F3" s="149" t="n"/>
      <c r="G3" s="149" t="n"/>
      <c r="H3" s="149" t="n"/>
      <c r="I3" s="149" t="n"/>
      <c r="J3" s="149" t="n"/>
      <c r="K3" s="149" t="n"/>
      <c r="L3" s="150" t="n"/>
      <c r="M3" s="152" t="inlineStr">
        <is>
          <t>PLAN DE ACCIÓN</t>
        </is>
      </c>
      <c r="N3" s="149" t="n"/>
      <c r="O3" s="149" t="n"/>
      <c r="P3" s="149" t="n"/>
      <c r="Q3" s="149" t="n"/>
      <c r="R3" s="150" t="n"/>
      <c r="S3" s="153" t="inlineStr">
        <is>
          <t>ESCALAMIENTO</t>
        </is>
      </c>
      <c r="T3" s="149" t="n"/>
      <c r="U3" s="149" t="n"/>
      <c r="V3" s="149" t="n"/>
      <c r="W3" s="150" t="n"/>
      <c r="X3" s="154" t="inlineStr">
        <is>
          <t>NOTIFICACIÓN AL CLIENTE</t>
        </is>
      </c>
      <c r="Y3" s="145" t="n"/>
      <c r="Z3" s="146" t="n"/>
      <c r="AA3" s="155" t="inlineStr">
        <is>
          <t>RESOLUCIÓN</t>
        </is>
      </c>
      <c r="AB3" s="149" t="n"/>
      <c r="AC3" s="149" t="n"/>
      <c r="AD3" s="149" t="n"/>
      <c r="AE3" s="149" t="n"/>
      <c r="AF3" s="150" t="n"/>
      <c r="AG3" s="152" t="inlineStr">
        <is>
          <t xml:space="preserve">CIERRE DE ACCIONES  </t>
        </is>
      </c>
      <c r="AH3" s="149" t="n"/>
      <c r="AI3" s="149" t="n"/>
      <c r="AJ3" s="149" t="n"/>
      <c r="AK3" s="149" t="n"/>
      <c r="AL3" s="149" t="n"/>
      <c r="AM3" s="149" t="n"/>
      <c r="AN3" s="150" t="n"/>
      <c r="AO3" s="55" t="n"/>
      <c r="AP3" s="55" t="n"/>
      <c r="AQ3" s="55" t="n"/>
      <c r="AR3" s="55" t="n"/>
      <c r="AS3" s="55" t="n"/>
      <c r="AT3" s="55" t="n"/>
      <c r="AU3" s="55" t="n"/>
      <c r="AV3" s="55" t="n"/>
    </row>
    <row r="4" ht="70.5" customHeight="1" s="140">
      <c r="A4" s="59" t="inlineStr">
        <is>
          <t xml:space="preserve"> Número de ticket</t>
        </is>
      </c>
      <c r="B4" s="59" t="inlineStr">
        <is>
          <t>Fecha apertura</t>
        </is>
      </c>
      <c r="C4" s="59" t="inlineStr">
        <is>
          <t>Hora apertura</t>
        </is>
      </c>
      <c r="D4" s="59" t="inlineStr">
        <is>
          <t>Tipo de Incidente</t>
        </is>
      </c>
      <c r="E4" s="59" t="inlineStr">
        <is>
          <t>Notificado por</t>
        </is>
      </c>
      <c r="F4" s="59" t="inlineStr">
        <is>
          <t>Clasificación</t>
        </is>
      </c>
      <c r="G4" s="59" t="inlineStr">
        <is>
          <t>Estado</t>
        </is>
      </c>
      <c r="H4" s="59" t="inlineStr">
        <is>
          <t>Impacto</t>
        </is>
      </c>
      <c r="I4" s="63" t="inlineStr">
        <is>
          <t>Urgencia</t>
        </is>
      </c>
      <c r="J4" s="59" t="inlineStr">
        <is>
          <t>Criticidad</t>
        </is>
      </c>
      <c r="K4" s="59" t="inlineStr">
        <is>
          <t>Prioridad</t>
        </is>
      </c>
      <c r="L4" s="59" t="inlineStr">
        <is>
          <t>Origen del Incidente</t>
        </is>
      </c>
      <c r="M4" s="59" t="inlineStr">
        <is>
          <t>Alcance</t>
        </is>
      </c>
      <c r="N4" s="59" t="inlineStr">
        <is>
          <t>Objetivos</t>
        </is>
      </c>
      <c r="O4" s="59" t="inlineStr">
        <is>
          <t>Responsable</t>
        </is>
      </c>
      <c r="P4" s="59" t="inlineStr">
        <is>
          <t>Partes intervinientes</t>
        </is>
      </c>
      <c r="Q4" s="59" t="inlineStr">
        <is>
          <t>Recursos involucrados</t>
        </is>
      </c>
      <c r="R4" s="59" t="inlineStr">
        <is>
          <t>Actividades y/o tareas a desarrollar</t>
        </is>
      </c>
      <c r="S4" s="63" t="inlineStr">
        <is>
          <t>¿Requiere escalamiento?</t>
        </is>
      </c>
      <c r="T4" s="63" t="inlineStr">
        <is>
          <t>Nivel de escalamiento</t>
        </is>
      </c>
      <c r="U4" s="63" t="inlineStr">
        <is>
          <t>Escalado a (rol / área)</t>
        </is>
      </c>
      <c r="V4" s="63" t="inlineStr">
        <is>
          <t>Fecha y hora de escalamiento</t>
        </is>
      </c>
      <c r="W4" s="69" t="inlineStr">
        <is>
          <t>Motivo del escalamiento</t>
        </is>
      </c>
      <c r="X4" s="63" t="inlineStr">
        <is>
          <t>Fecha de notificación al cliente</t>
        </is>
      </c>
      <c r="Y4" s="63" t="inlineStr">
        <is>
          <t>Hora de notificación</t>
        </is>
      </c>
      <c r="Z4" s="63" t="inlineStr">
        <is>
          <t>Tiempo de notificación (h)</t>
        </is>
      </c>
      <c r="AA4" s="70" t="inlineStr">
        <is>
          <t>Fecha de resolución</t>
        </is>
      </c>
      <c r="AB4" s="63" t="inlineStr">
        <is>
          <t>Hora de resolución</t>
        </is>
      </c>
      <c r="AC4" s="63" t="inlineStr">
        <is>
          <t>Causa raíz</t>
        </is>
      </c>
      <c r="AD4" s="63" t="inlineStr">
        <is>
          <t>Solución aplicada</t>
        </is>
      </c>
      <c r="AE4" s="63" t="inlineStr">
        <is>
          <t>Tiempo de resolución (h)</t>
        </is>
      </c>
      <c r="AF4" s="63" t="inlineStr">
        <is>
          <t>¿Cumplió SLA?</t>
        </is>
      </c>
      <c r="AG4" s="59" t="inlineStr">
        <is>
          <t>Fecha de Cierre</t>
        </is>
      </c>
      <c r="AH4" s="59" t="inlineStr">
        <is>
          <t>Hora cierre</t>
        </is>
      </c>
      <c r="AI4" s="63" t="inlineStr">
        <is>
          <t>Criterio de cierre</t>
        </is>
      </c>
      <c r="AJ4" s="63" t="inlineStr">
        <is>
          <t>Conformidad del usuario</t>
        </is>
      </c>
      <c r="AK4" s="63" t="inlineStr">
        <is>
          <t>Cerrado por</t>
        </is>
      </c>
      <c r="AL4" s="59" t="inlineStr">
        <is>
          <t>Lecciones Aprendidas</t>
        </is>
      </c>
      <c r="AM4" s="59" t="inlineStr">
        <is>
          <t>Responsable Resolución</t>
        </is>
      </c>
      <c r="AN4" s="59" t="inlineStr">
        <is>
          <t>Observación</t>
        </is>
      </c>
      <c r="AO4" s="72" t="n"/>
      <c r="AP4" s="72" t="n"/>
      <c r="AQ4" s="72" t="n"/>
      <c r="AR4" s="72" t="n"/>
      <c r="AS4" s="72" t="n"/>
      <c r="AT4" s="72" t="n"/>
      <c r="AU4" s="72" t="n"/>
      <c r="AV4" s="72" t="n"/>
    </row>
    <row r="5" ht="92.25" customHeight="1" s="140">
      <c r="A5" s="105" t="inlineStr">
        <is>
          <t>3700 (Stellar Cyber)</t>
        </is>
      </c>
      <c r="B5" s="75" t="n">
        <v>46265</v>
      </c>
      <c r="C5" s="76" t="n">
        <v>0.3150810185185185</v>
      </c>
      <c r="D5" s="77" t="inlineStr">
        <is>
          <t>Detección de archivo catalogado como PUA en host de tenant CAJAANDE</t>
        </is>
      </c>
      <c r="E5" s="92" t="inlineStr">
        <is>
          <t>Sophos</t>
        </is>
      </c>
      <c r="F5" s="92" t="inlineStr">
        <is>
          <t>Otros</t>
        </is>
      </c>
      <c r="G5" s="82" t="inlineStr">
        <is>
          <t>Cerrado</t>
        </is>
      </c>
      <c r="H5" s="92" t="inlineStr">
        <is>
          <t>Bajo</t>
        </is>
      </c>
      <c r="I5" s="92" t="inlineStr">
        <is>
          <t>Baja</t>
        </is>
      </c>
      <c r="J5" s="92" t="inlineStr">
        <is>
          <t>Baja</t>
        </is>
      </c>
      <c r="K5" s="92">
        <f t="array" ref="K5">IF(OR($H5="",$I5=""),"",INDEX(PARAMETROS!$C$6:$E$8,MATCH($H5,PARAMETROS!$B$6:$B$8,0),MATCH($I5,PARAMETROS!$C$5:$E$5,0)))</f>
        <v/>
      </c>
      <c r="L5" s="92" t="inlineStr">
        <is>
          <t>Host: CJPPA081</t>
        </is>
      </c>
      <c r="M5" s="92" t="inlineStr">
        <is>
          <t>N/A</t>
        </is>
      </c>
      <c r="N5" s="92" t="inlineStr">
        <is>
          <t>N/A</t>
        </is>
      </c>
      <c r="O5" s="92" t="inlineStr">
        <is>
          <t>N/A</t>
        </is>
      </c>
      <c r="P5" s="92" t="inlineStr">
        <is>
          <t>N/A</t>
        </is>
      </c>
      <c r="Q5" s="93" t="inlineStr">
        <is>
          <t>Host: CJPPA081
User: CAJAANDE\c3412949
IP: 172.16.202.111</t>
        </is>
      </c>
      <c r="R5" s="77" t="inlineStr">
        <is>
          <t>Realizar la eliminación manual del archivo C:\Users\mkt_sege\Downloads\CorelDRAW Graphics Suite 2022 v24.0.0.301.rar</t>
        </is>
      </c>
      <c r="S5" s="92" t="inlineStr">
        <is>
          <t>No</t>
        </is>
      </c>
      <c r="T5" s="92" t="n"/>
      <c r="U5" s="92" t="inlineStr">
        <is>
          <t>N/A</t>
        </is>
      </c>
      <c r="V5" s="92" t="inlineStr">
        <is>
          <t>N/A</t>
        </is>
      </c>
      <c r="W5" s="92" t="inlineStr">
        <is>
          <t>N/A</t>
        </is>
      </c>
      <c r="X5" s="94" t="n">
        <v>46265</v>
      </c>
      <c r="Y5" s="95" t="n">
        <v>0.5041666666666667</v>
      </c>
      <c r="Z5" s="117">
        <f>IF(OR($B5="",$X5=""),"",ROUND((($X5+$Y5)-($B5+$C5))*24,1))</f>
        <v/>
      </c>
      <c r="AA5" s="99" t="n">
        <v>46266</v>
      </c>
      <c r="AB5" s="76" t="n">
        <v>0.4166666666666667</v>
      </c>
      <c r="AC5" s="77" t="inlineStr">
        <is>
          <t>Archivo catalogado como PUA en host de tenant CAJAANDE</t>
        </is>
      </c>
      <c r="AD5" s="92" t="inlineStr">
        <is>
          <t>Eliminación manual del archivo a través del Live Response del Sophos</t>
        </is>
      </c>
      <c r="AE5" s="137">
        <f>IF(OR($B5="",$AA5=""),"",ROUND((($AA5+$AB5)-($B5+$C5))*24,1))</f>
        <v/>
      </c>
      <c r="AF5" s="105">
        <f t="array" ref="AF5">IF(OR($Z5="",$K5=""),"",IF($Z5&lt;=INDEX(PARAMETROS!$E$25:$E$28,MATCH($K5,PARAMETROS!$A$25:$A$28,0)),"Sí","No"))</f>
        <v/>
      </c>
      <c r="AG5" s="99" t="n">
        <v>46266</v>
      </c>
      <c r="AH5" s="76" t="n">
        <v>0.4166666666666667</v>
      </c>
      <c r="AI5" s="92" t="inlineStr">
        <is>
          <t>Eliminación de la causa de la alerta</t>
        </is>
      </c>
      <c r="AJ5" s="92" t="inlineStr">
        <is>
          <t>Conforme</t>
        </is>
      </c>
      <c r="AK5" s="92" t="inlineStr">
        <is>
          <t>Hermes Sánchez</t>
        </is>
      </c>
      <c r="AL5" s="77" t="inlineStr">
        <is>
          <t>N/A</t>
        </is>
      </c>
      <c r="AM5" s="92" t="inlineStr">
        <is>
          <t>Hermes Sánchez</t>
        </is>
      </c>
      <c r="AN5" s="92" t="inlineStr">
        <is>
          <t>N/A</t>
        </is>
      </c>
      <c r="AO5" s="106" t="n"/>
      <c r="AP5" s="106" t="n"/>
      <c r="AQ5" s="106" t="n"/>
      <c r="AR5" s="106" t="n"/>
      <c r="AS5" s="106" t="n"/>
      <c r="AT5" s="106" t="n"/>
      <c r="AU5" s="106" t="n"/>
      <c r="AV5" s="106" t="n"/>
    </row>
    <row r="6" ht="89.25" customHeight="1" s="140">
      <c r="A6" s="114" t="inlineStr">
        <is>
          <t>15581 (Stella Cyber)</t>
        </is>
      </c>
      <c r="B6" s="108" t="n">
        <v>46284</v>
      </c>
      <c r="C6" s="109" t="n">
        <v>0.1145833333333333</v>
      </c>
      <c r="D6" s="77" t="inlineStr">
        <is>
          <t>Caída de Sensor de Red NDR - technoma-sensor</t>
        </is>
      </c>
      <c r="E6" s="112" t="inlineStr">
        <is>
          <t>Stella Cyber</t>
        </is>
      </c>
      <c r="F6" s="112" t="inlineStr">
        <is>
          <t>Disponibilidad</t>
        </is>
      </c>
      <c r="G6" s="111" t="inlineStr">
        <is>
          <t>Cerrado</t>
        </is>
      </c>
      <c r="H6" s="112" t="inlineStr">
        <is>
          <t>Alto</t>
        </is>
      </c>
      <c r="I6" s="112" t="inlineStr">
        <is>
          <t>Alta</t>
        </is>
      </c>
      <c r="J6" s="112" t="inlineStr">
        <is>
          <t>Alta</t>
        </is>
      </c>
      <c r="K6" s="112">
        <f t="array" ref="K6">IF(OR($H6="",$I6=""),"",INDEX(PARAMETROS!$C$6:$E$8,MATCH($H6,PARAMETROS!$B$6:$B$8,0),MATCH($I6,PARAMETROS!$C$5:$E$5,0)))</f>
        <v/>
      </c>
      <c r="L6" s="77" t="inlineStr">
        <is>
          <t>Sensor de red: technoma-sensor</t>
        </is>
      </c>
      <c r="M6" s="92" t="inlineStr">
        <is>
          <t>N/A</t>
        </is>
      </c>
      <c r="N6" s="92" t="inlineStr">
        <is>
          <t>N/A</t>
        </is>
      </c>
      <c r="O6" s="92" t="inlineStr">
        <is>
          <t>N/A</t>
        </is>
      </c>
      <c r="P6" s="92" t="inlineStr">
        <is>
          <t>N/A</t>
        </is>
      </c>
      <c r="Q6" s="112" t="inlineStr">
        <is>
          <t xml:space="preserve">Nombre: technoma-sensor
IP:  192.168.15.70
SO: Ubuntu 22.04 (QEMU)
</t>
        </is>
      </c>
      <c r="R6" s="92" t="inlineStr">
        <is>
          <t>Notificar por llamada al Soc Manager.</t>
        </is>
      </c>
      <c r="S6" s="112" t="inlineStr">
        <is>
          <t>No</t>
        </is>
      </c>
      <c r="T6" s="112" t="n"/>
      <c r="U6" s="92" t="inlineStr">
        <is>
          <t>N/A</t>
        </is>
      </c>
      <c r="V6" s="92" t="inlineStr">
        <is>
          <t>N/A</t>
        </is>
      </c>
      <c r="W6" s="92" t="inlineStr">
        <is>
          <t>N/A</t>
        </is>
      </c>
      <c r="X6" s="94" t="n">
        <v>46284</v>
      </c>
      <c r="Y6" s="95" t="n">
        <v>0.1305555555555556</v>
      </c>
      <c r="Z6" s="117">
        <f>IF(OR($B6="",$X6=""),"",ROUND((($X6+$Y6)-($B6+$C6))*24,1))</f>
        <v/>
      </c>
      <c r="AA6" s="113" t="n">
        <v>46284</v>
      </c>
      <c r="AB6" s="109" t="n">
        <v>0.1368055555555556</v>
      </c>
      <c r="AC6" s="77" t="inlineStr">
        <is>
          <t>Desconexión Temporal por Actualización de Sensor</t>
        </is>
      </c>
      <c r="AD6" s="77" t="inlineStr">
        <is>
          <t>El sensor reanudó automáticamente su conectividad y restableció el flujo normal de telemetría de red luego de 32 minutos.</t>
        </is>
      </c>
      <c r="AE6" s="117">
        <f>IF(OR($B6="",$AA6=""),"",ROUND((($AA6+$AB6)-($B6+$C6))*24,1))</f>
        <v/>
      </c>
      <c r="AF6" s="114">
        <f t="array" ref="AF6">IF(OR($Z6="",$K6=""),"",IF($Z6&lt;=INDEX(PARAMETROS!$E$25:$E$28,MATCH($K6,PARAMETROS!$A$25:$A$28,0)),"Sí","No"))</f>
        <v/>
      </c>
      <c r="AG6" s="108" t="n">
        <v>46284</v>
      </c>
      <c r="AH6" s="109" t="n">
        <v>0.1472222222222222</v>
      </c>
      <c r="AI6" s="112" t="inlineStr">
        <is>
          <t>Sensor Conectado y Actualizado</t>
        </is>
      </c>
      <c r="AJ6" s="112" t="inlineStr">
        <is>
          <t>Conforme</t>
        </is>
      </c>
      <c r="AK6" s="112" t="inlineStr">
        <is>
          <t>Angel Insaurralde</t>
        </is>
      </c>
      <c r="AL6" s="77" t="inlineStr">
        <is>
          <t>N/A</t>
        </is>
      </c>
      <c r="AM6" s="112" t="inlineStr">
        <is>
          <t>Angel Insaurralde</t>
        </is>
      </c>
      <c r="AN6" s="92" t="inlineStr">
        <is>
          <t>N/A</t>
        </is>
      </c>
      <c r="AO6" s="106" t="n"/>
      <c r="AP6" s="106" t="n"/>
      <c r="AQ6" s="106" t="n"/>
      <c r="AR6" s="106" t="n"/>
      <c r="AS6" s="106" t="n"/>
      <c r="AT6" s="106" t="n"/>
      <c r="AU6" s="106" t="n"/>
      <c r="AV6" s="106" t="n"/>
    </row>
    <row r="7" ht="39.75" customHeight="1" s="140">
      <c r="A7" s="114" t="inlineStr">
        <is>
          <t>568 (Cortex XDR)</t>
        </is>
      </c>
      <c r="B7" s="108" t="n">
        <v>46280</v>
      </c>
      <c r="C7" s="109" t="n">
        <v>0.8979166666666667</v>
      </c>
      <c r="D7" s="115" t="inlineStr">
        <is>
          <t>Uso de Software No Autorizado</t>
        </is>
      </c>
      <c r="E7" s="112" t="inlineStr">
        <is>
          <t>Cortex XDR</t>
        </is>
      </c>
      <c r="F7" s="112" t="inlineStr">
        <is>
          <t>Otros</t>
        </is>
      </c>
      <c r="G7" s="111" t="inlineStr">
        <is>
          <t>Escalado</t>
        </is>
      </c>
      <c r="H7" s="112" t="inlineStr">
        <is>
          <t>Bajo</t>
        </is>
      </c>
      <c r="I7" s="112" t="inlineStr">
        <is>
          <t>Baja</t>
        </is>
      </c>
      <c r="J7" s="112" t="inlineStr">
        <is>
          <t>Baja</t>
        </is>
      </c>
      <c r="K7" s="112">
        <f t="array" ref="K7">IF(OR($H7="",$I7=""),"",INDEX(PARAMETROS!$C$6:$E$8,MATCH($H7,PARAMETROS!$B$6:$B$8,0),MATCH($I7,PARAMETROS!$C$5:$E$5,0)))</f>
        <v/>
      </c>
      <c r="L7" s="112" t="inlineStr">
        <is>
          <t>Cortex XDR</t>
        </is>
      </c>
      <c r="M7" s="92" t="inlineStr">
        <is>
          <t>N/A</t>
        </is>
      </c>
      <c r="N7" s="92" t="inlineStr">
        <is>
          <t>N/A</t>
        </is>
      </c>
      <c r="O7" s="92" t="inlineStr">
        <is>
          <t>N/A</t>
        </is>
      </c>
      <c r="P7" s="92" t="inlineStr">
        <is>
          <t>N/A</t>
        </is>
      </c>
      <c r="Q7" s="115" t="inlineStr">
        <is>
          <t>Host: nb-emarquez
User: TECHNOMA\eduardomarquez</t>
        </is>
      </c>
      <c r="R7" s="115" t="inlineStr">
        <is>
          <t>Realizar la desinstalación del archivo C:\Users\eduardomarquez\AppData\Local\Roblox\Versions\version-c5aecda2245e4fae\RobloxPlayerBeta.exe</t>
        </is>
      </c>
      <c r="S7" s="112" t="inlineStr">
        <is>
          <t>No</t>
        </is>
      </c>
      <c r="T7" s="112" t="n"/>
      <c r="U7" s="92" t="inlineStr">
        <is>
          <t>N/A</t>
        </is>
      </c>
      <c r="V7" s="92" t="inlineStr">
        <is>
          <t>N/A</t>
        </is>
      </c>
      <c r="W7" s="92" t="inlineStr">
        <is>
          <t>N/A</t>
        </is>
      </c>
      <c r="X7" s="94" t="n">
        <v>46287</v>
      </c>
      <c r="Y7" s="95" t="n">
        <v>0.6486111111111111</v>
      </c>
      <c r="Z7" s="117">
        <f>IF(OR($B7="",$X7=""),"",ROUND((($X7+$Y7)-($B7+$C7))*24,1))</f>
        <v/>
      </c>
      <c r="AA7" s="94" t="n">
        <v>46287</v>
      </c>
      <c r="AB7" s="95" t="n">
        <v>0.6486111111111111</v>
      </c>
      <c r="AC7" s="115" t="inlineStr">
        <is>
          <t>Instalación de software no autorizado</t>
        </is>
      </c>
      <c r="AD7" s="115" t="inlineStr">
        <is>
          <t>Notificación para la desinstalación del software no autorizado.</t>
        </is>
      </c>
      <c r="AE7" s="117">
        <f>IF(OR($B7="",$AA7=""),"",ROUND((($AA7+$AB7)-($B7+$C7))*24,1))</f>
        <v/>
      </c>
      <c r="AF7" s="114">
        <f t="array" ref="AF7">IF(OR($Z7="",$K7=""),"",IF($Z7&lt;=INDEX(PARAMETROS!$E$25:$E$28,MATCH($K7,PARAMETROS!$A$25:$A$28,0)),"Sí","No"))</f>
        <v/>
      </c>
      <c r="AG7" s="94" t="n">
        <v>46287</v>
      </c>
      <c r="AH7" s="95" t="n">
        <v>0.6486111111111111</v>
      </c>
      <c r="AI7" s="115" t="inlineStr">
        <is>
          <t>Notificación para la desinstalación del software no autorizado.</t>
        </is>
      </c>
      <c r="AJ7" s="112" t="inlineStr">
        <is>
          <t>Conforme</t>
        </is>
      </c>
      <c r="AK7" s="92" t="inlineStr">
        <is>
          <t>Hermes Sánchez</t>
        </is>
      </c>
      <c r="AL7" s="77" t="inlineStr">
        <is>
          <t>N/A</t>
        </is>
      </c>
      <c r="AM7" s="92" t="inlineStr">
        <is>
          <t>Hermes Sánchez</t>
        </is>
      </c>
      <c r="AN7" s="92" t="inlineStr">
        <is>
          <t>N/A</t>
        </is>
      </c>
      <c r="AO7" s="106" t="n"/>
      <c r="AP7" s="106" t="n"/>
      <c r="AQ7" s="106" t="n"/>
      <c r="AR7" s="106" t="n"/>
      <c r="AS7" s="106" t="n"/>
      <c r="AT7" s="106" t="n"/>
      <c r="AU7" s="106" t="n"/>
      <c r="AV7" s="106" t="n"/>
    </row>
    <row r="8" ht="69" customHeight="1" s="140">
      <c r="A8" s="114" t="inlineStr">
        <is>
          <t>114995(Oddo)</t>
        </is>
      </c>
      <c r="B8" s="108" t="n">
        <v>46289</v>
      </c>
      <c r="C8" s="109" t="n">
        <v>0.1527777777777778</v>
      </c>
      <c r="D8" s="77" t="inlineStr">
        <is>
          <t>Caída de Sensor de Red y Agente - Sensor-Modular-CajaAnde / VMBASE8</t>
        </is>
      </c>
      <c r="E8" s="112" t="inlineStr">
        <is>
          <t>Oddo</t>
        </is>
      </c>
      <c r="F8" s="112" t="inlineStr">
        <is>
          <t>Disponibilidad</t>
        </is>
      </c>
      <c r="G8" s="111" t="inlineStr">
        <is>
          <t>Cerrado</t>
        </is>
      </c>
      <c r="H8" s="112" t="inlineStr">
        <is>
          <t>Alto</t>
        </is>
      </c>
      <c r="I8" s="112" t="inlineStr">
        <is>
          <t>Alta</t>
        </is>
      </c>
      <c r="J8" s="112" t="inlineStr">
        <is>
          <t>Alta</t>
        </is>
      </c>
      <c r="K8" s="112">
        <f t="array" ref="K8">IF(OR($H8="",$I8=""),"",INDEX(PARAMETROS!$C$6:$E$8,MATCH($H8,PARAMETROS!$B$6:$B$8,0),MATCH($I8,PARAMETROS!$C$5:$E$5,0)))</f>
        <v/>
      </c>
      <c r="L8" s="77" t="inlineStr">
        <is>
          <t>Sensor de red: Sensor-Modular-CajaAnde / Agente: VMBASE8</t>
        </is>
      </c>
      <c r="M8" s="92" t="inlineStr">
        <is>
          <t>N/A</t>
        </is>
      </c>
      <c r="N8" s="92" t="inlineStr">
        <is>
          <t>N/A</t>
        </is>
      </c>
      <c r="O8" s="92" t="inlineStr">
        <is>
          <t>N/A</t>
        </is>
      </c>
      <c r="P8" s="92" t="inlineStr">
        <is>
          <t>N/A</t>
        </is>
      </c>
      <c r="Q8" s="77" t="inlineStr">
        <is>
          <t>Sensor: Sensor-Modular-CajaAnde (ID 01f719f1094e4cfaaf2bbb6a0526400a)
· Host: VMBASE8 (ID 4c735067a7f5483ca72265eb5324214c)
· IP Gateway: 190.52.189.87</t>
        </is>
      </c>
      <c r="R8" s="77" t="inlineStr">
        <is>
          <t>Enviar RFA al cliente para verificar suministro eléctrico e hipervisor de la VM del sensor, y estado del enlace de Internet y del túnel VPN (IP 190.52.189.87).</t>
        </is>
      </c>
      <c r="S8" s="112" t="inlineStr">
        <is>
          <t>No</t>
        </is>
      </c>
      <c r="T8" s="112" t="n"/>
      <c r="U8" s="92" t="inlineStr">
        <is>
          <t>N/A</t>
        </is>
      </c>
      <c r="V8" s="92" t="inlineStr">
        <is>
          <t>N/A</t>
        </is>
      </c>
      <c r="W8" s="92" t="inlineStr">
        <is>
          <t>N/A</t>
        </is>
      </c>
      <c r="X8" s="94" t="n">
        <v>46289</v>
      </c>
      <c r="Y8" s="95" t="n">
        <v>0.1944444444444444</v>
      </c>
      <c r="Z8" s="117">
        <f>IF(OR($B8="",$X8=""),"",ROUND((($X8+$Y8)-($B8+$C8))*24,1))</f>
        <v/>
      </c>
      <c r="AA8" s="113" t="n">
        <v>46289</v>
      </c>
      <c r="AB8" s="109" t="n">
        <v>0.3125</v>
      </c>
      <c r="AC8" s="115" t="inlineStr">
        <is>
          <t>Sensor y agente desconectado por corte de luz</t>
        </is>
      </c>
      <c r="AD8" s="77" t="inlineStr">
        <is>
          <t>El sensor y agente reanudaron automáticamente su conectividad y restableció el flujo normal de telemetría de red luego de 4 horas y 50 minutos.</t>
        </is>
      </c>
      <c r="AE8" s="117">
        <f>IF(OR($B8="",$AA8=""),"",ROUND((($AA8+$AB8)-($B8+$C8))*24,1))</f>
        <v/>
      </c>
      <c r="AF8" s="114">
        <f t="array" ref="AF8">IF(OR($Z8="",$K8=""),"",IF($Z8&lt;=INDEX(PARAMETROS!$E$25:$E$28,MATCH($K8,PARAMETROS!$A$25:$A$28,0)),"Sí","No"))</f>
        <v/>
      </c>
      <c r="AG8" s="108" t="n">
        <v>46289</v>
      </c>
      <c r="AH8" s="109" t="n">
        <v>0.3125</v>
      </c>
      <c r="AI8" s="77" t="inlineStr">
        <is>
          <t>Sensor conectado y enviando telemetría normal</t>
        </is>
      </c>
      <c r="AJ8" s="112" t="inlineStr">
        <is>
          <t>Conforme</t>
        </is>
      </c>
      <c r="AK8" s="112" t="inlineStr">
        <is>
          <t>Angel Insaurralde</t>
        </is>
      </c>
      <c r="AL8" s="77" t="inlineStr">
        <is>
          <t>N/A</t>
        </is>
      </c>
      <c r="AM8" s="112" t="inlineStr">
        <is>
          <t>Angel Insaurralde</t>
        </is>
      </c>
      <c r="AN8" s="112" t="inlineStr">
        <is>
          <t>N/A</t>
        </is>
      </c>
      <c r="AO8" s="106" t="n"/>
      <c r="AP8" s="106" t="n"/>
      <c r="AQ8" s="106" t="n"/>
      <c r="AR8" s="106" t="n"/>
      <c r="AS8" s="106" t="n"/>
      <c r="AT8" s="106" t="n"/>
      <c r="AU8" s="106" t="n"/>
      <c r="AV8" s="106" t="n"/>
    </row>
    <row r="9" ht="72.75" customHeight="1" s="140">
      <c r="A9" s="114" t="inlineStr">
        <is>
          <t>118658(Odoo)
118608(Odoo)</t>
        </is>
      </c>
      <c r="B9" s="108" t="n">
        <v>46299</v>
      </c>
      <c r="C9" s="109" t="n">
        <v>0.125</v>
      </c>
      <c r="D9" s="112" t="inlineStr">
        <is>
          <t>Caída de Sensor de 
Red y Agente - 
Sensor-Modular-Caja
Ande / VMBASE8</t>
        </is>
      </c>
      <c r="E9" s="112" t="inlineStr">
        <is>
          <t>Stellar Cyber</t>
        </is>
      </c>
      <c r="F9" s="112" t="inlineStr">
        <is>
          <t>Disponibilidad</t>
        </is>
      </c>
      <c r="G9" s="111" t="inlineStr">
        <is>
          <t>Cerrado</t>
        </is>
      </c>
      <c r="H9" s="112" t="inlineStr">
        <is>
          <t>Alto</t>
        </is>
      </c>
      <c r="I9" s="112" t="inlineStr">
        <is>
          <t>Alta</t>
        </is>
      </c>
      <c r="J9" s="112" t="inlineStr">
        <is>
          <t>Alta</t>
        </is>
      </c>
      <c r="K9" s="112">
        <f t="array" ref="K9">IF(OR($H9="",$I9=""),"",INDEX(PARAMETROS!$C$6:$E$8,MATCH($H9,PARAMETROS!$B$6:$B$8,0),MATCH($I9,PARAMETROS!$C$5:$E$5,0)))</f>
        <v/>
      </c>
      <c r="L9" s="112" t="inlineStr">
        <is>
          <t>Sensor de red: Sensor-Modular-CajaAnde 
/ Agente: VMBASE8</t>
        </is>
      </c>
      <c r="M9" s="112" t="inlineStr">
        <is>
          <t>N/A</t>
        </is>
      </c>
      <c r="N9" s="112" t="inlineStr">
        <is>
          <t>N/A</t>
        </is>
      </c>
      <c r="O9" s="112" t="inlineStr">
        <is>
          <t>N/A</t>
        </is>
      </c>
      <c r="P9" s="112" t="inlineStr">
        <is>
          <t>N/A</t>
        </is>
      </c>
      <c r="Q9" s="112" t="inlineStr">
        <is>
          <t>Sensor: Sensor-Modular-CajaAnde  
Host: VMBASE8 
IP Gateway: 190.52.189.87</t>
        </is>
      </c>
      <c r="R9" s="112" t="inlineStr">
        <is>
          <t>Validar corte con NOC, notificar al contacto 
César (CAJA ANDE) a las 04:00 AM y 
confirmar restablecimiento a las 09:00 AM.</t>
        </is>
      </c>
      <c r="S9" s="112" t="inlineStr">
        <is>
          <t>No</t>
        </is>
      </c>
      <c r="T9" s="112" t="n"/>
      <c r="U9" s="112" t="inlineStr">
        <is>
          <t>N/A</t>
        </is>
      </c>
      <c r="V9" s="112" t="inlineStr">
        <is>
          <t>N/A</t>
        </is>
      </c>
      <c r="W9" s="116" t="inlineStr">
        <is>
          <t>N/A</t>
        </is>
      </c>
      <c r="X9" s="94" t="n">
        <v>46299</v>
      </c>
      <c r="Y9" s="95" t="n">
        <v>0.1666666666666667</v>
      </c>
      <c r="Z9" s="117" t="n">
        <v>1</v>
      </c>
      <c r="AA9" s="113" t="n">
        <v>46299</v>
      </c>
      <c r="AB9" s="109" t="n">
        <v>0.375</v>
      </c>
      <c r="AC9" s="112" t="inlineStr">
        <is>
          <t>Corte de fibra óptica en enlace 
perimetral de Caja Ande 
(confirmado por NOC).</t>
        </is>
      </c>
      <c r="AD9" s="112" t="inlineStr">
        <is>
          <t>Proveedor normalizó enlace de 
fibra a las 09:00 AM. El sensor y 
agente reanudaron 
automáticamente conectividad 
y telemetría luego de 6 horas.</t>
        </is>
      </c>
      <c r="AE9" s="117">
        <f>IF(OR($B9="",$AA9=""),"",ROUND((($AA9+$AB9)-($B9+$C9))*24,1))</f>
        <v/>
      </c>
      <c r="AF9" s="114">
        <f t="array" ref="AF9">IF(OR($Z9="",$K9=""),"",IF($Z9&lt;=INDEX(PARAMETROS!$E$25:$E$28,MATCH($K9,PARAMETROS!$A$25:$A$28,0)),"Sí","No"))</f>
        <v/>
      </c>
      <c r="AG9" s="118" t="n">
        <v>46299</v>
      </c>
      <c r="AH9" s="119" t="n">
        <v>0.375</v>
      </c>
      <c r="AI9" s="112" t="inlineStr">
        <is>
          <t>Sensor y agente conectados y enviando
telemetría normal</t>
        </is>
      </c>
      <c r="AJ9" s="112" t="inlineStr">
        <is>
          <t>Conforme</t>
        </is>
      </c>
      <c r="AK9" s="112" t="inlineStr">
        <is>
          <t>Kevin Moraes</t>
        </is>
      </c>
      <c r="AL9" s="112" t="inlineStr">
        <is>
          <t>N/A</t>
        </is>
      </c>
      <c r="AM9" s="112" t="inlineStr">
        <is>
          <t>Kevin Moraes</t>
        </is>
      </c>
      <c r="AN9" s="112" t="inlineStr">
        <is>
          <t>N/A</t>
        </is>
      </c>
      <c r="AO9" s="106" t="n"/>
      <c r="AP9" s="106" t="n"/>
      <c r="AQ9" s="106" t="n"/>
      <c r="AR9" s="106" t="n"/>
      <c r="AS9" s="106" t="n"/>
      <c r="AT9" s="106" t="n"/>
      <c r="AU9" s="106" t="n"/>
      <c r="AV9" s="106" t="n"/>
    </row>
    <row r="10" ht="117" customHeight="1" s="140">
      <c r="A10" s="120" t="inlineStr">
        <is>
          <t>INC-20261008-001</t>
        </is>
      </c>
      <c r="B10" s="108" t="n">
        <v>46303</v>
      </c>
      <c r="C10" s="121" t="n">
        <v>0.4673611111111111</v>
      </c>
      <c r="D10" s="115" t="inlineStr">
        <is>
          <t xml:space="preserve">Conexion permitida desde IP con mala reputacion </t>
        </is>
      </c>
      <c r="E10" s="112" t="inlineStr">
        <is>
          <t>Stellar Cyber</t>
        </is>
      </c>
      <c r="F10" s="112" t="inlineStr">
        <is>
          <t>Disponibilidad</t>
        </is>
      </c>
      <c r="G10" s="111" t="inlineStr">
        <is>
          <t>Cerrado</t>
        </is>
      </c>
      <c r="H10" s="112" t="inlineStr">
        <is>
          <t>Bajo</t>
        </is>
      </c>
      <c r="I10" s="112" t="inlineStr">
        <is>
          <t>Baja</t>
        </is>
      </c>
      <c r="J10" s="112" t="inlineStr">
        <is>
          <t>Baja</t>
        </is>
      </c>
      <c r="K10" s="112">
        <f t="array" ref="K10">IF(OR($H10="",$I10=""),"",INDEX(PARAMETROS!$C$6:$E$8,MATCH($H10,PARAMETROS!$B$6:$B$8,0),MATCH($I10,PARAMETROS!$C$5:$E$5,0)))</f>
        <v/>
      </c>
      <c r="L10" s="115" t="inlineStr">
        <is>
          <t>104.23.254.12 (Brasil, ASN:13335 - Cloudflare, Inc.)</t>
        </is>
      </c>
      <c r="M10" s="122" t="inlineStr">
        <is>
          <t>190.104.178.146 (DNAT hacia servidor interno 10.11.3.196 por el puerto 443 - digitalcert.technoma.com.py)</t>
        </is>
      </c>
      <c r="N10" s="122" t="inlineStr">
        <is>
          <t>Investigar la conexión catalogada como maliciosa, determinar si hubo compromiso y documentar la justificación.</t>
        </is>
      </c>
      <c r="O10" s="112" t="inlineStr">
        <is>
          <t>N/A</t>
        </is>
      </c>
      <c r="P10" s="112" t="inlineStr">
        <is>
          <t>N/A</t>
        </is>
      </c>
      <c r="Q10" s="123" t="inlineStr">
        <is>
          <t>Firewall FortiGate, Servidor DigitalCert</t>
        </is>
      </c>
      <c r="R10" s="124" t="inlineStr">
        <is>
          <t>1. Análisis de los logs del firewall. 2. Verificación de la reputación de la IP origen. 3. Validación del comportamiento de la sesión (tráfico transferido y estado de cierre).</t>
        </is>
      </c>
      <c r="S10" s="112" t="inlineStr">
        <is>
          <t>No</t>
        </is>
      </c>
      <c r="T10" s="112" t="n"/>
      <c r="U10" s="112" t="inlineStr">
        <is>
          <t>N/A</t>
        </is>
      </c>
      <c r="V10" s="112" t="inlineStr">
        <is>
          <t>N/A</t>
        </is>
      </c>
      <c r="W10" s="116" t="inlineStr">
        <is>
          <t>N/A</t>
        </is>
      </c>
      <c r="X10" s="94" t="n">
        <v>46303</v>
      </c>
      <c r="Y10" s="95" t="n">
        <v>0.4722222222222222</v>
      </c>
      <c r="Z10" s="117" t="n">
        <v>1</v>
      </c>
      <c r="AA10" s="113" t="n">
        <v>46303</v>
      </c>
      <c r="AB10" s="109" t="n">
        <v>0.4791666666666667</v>
      </c>
      <c r="AC10" s="122" t="inlineStr">
        <is>
          <t>El sensor XDR marcó la IP 104.23.254.12 con un Threat Score de 64 (Brute_Forcer). Al pertenecer a la infraestructura de proxy reverso de Cloudflare, la IP agrupa tráfico de múltiples clientes a nivel global, heredando una mala reputación genérica en bases de datos de amenazas</t>
        </is>
      </c>
      <c r="AD10" s="122" t="inlineStr">
        <is>
          <t>Se documenta el evento como tráfico esperado a través del WAF/CDN. No se requiere bloqueo en capa 4.</t>
        </is>
      </c>
      <c r="AE10" s="125" t="inlineStr">
        <is>
          <t>0.25 h</t>
        </is>
      </c>
      <c r="AF10" s="114">
        <f t="array" ref="AF10">IF(OR($Z10="",$K10=""),"",IF($Z10&lt;=INDEX(PARAMETROS!$E$25:$E$28,MATCH($K10,PARAMETROS!$A$25:$A$28,0)),"Sí","No"))</f>
        <v/>
      </c>
      <c r="AG10" s="118" t="n">
        <v>46303</v>
      </c>
      <c r="AH10" s="119" t="n">
        <v>0.4826388888888889</v>
      </c>
      <c r="AI10" s="112" t="inlineStr">
        <is>
          <t>Falso Positivo confirmado / Comportamiento normal de insfraestructura CDN.</t>
        </is>
      </c>
      <c r="AJ10" s="112" t="inlineStr">
        <is>
          <t>Conforme</t>
        </is>
      </c>
      <c r="AK10" s="112" t="inlineStr">
        <is>
          <t>Guillermo Cabañas</t>
        </is>
      </c>
      <c r="AL10" s="112" t="inlineStr">
        <is>
          <t>N/A</t>
        </is>
      </c>
      <c r="AM10" s="112" t="inlineStr">
        <is>
          <t>Guillermo Cabañas</t>
        </is>
      </c>
      <c r="AN10" s="112" t="inlineStr">
        <is>
          <t>N/A</t>
        </is>
      </c>
      <c r="AO10" s="106" t="n"/>
      <c r="AP10" s="106" t="n"/>
      <c r="AQ10" s="106" t="n"/>
      <c r="AR10" s="106" t="n"/>
      <c r="AS10" s="106" t="n"/>
      <c r="AT10" s="106" t="n"/>
      <c r="AU10" s="106" t="n"/>
      <c r="AV10" s="106" t="n"/>
    </row>
    <row r="11" ht="93" customHeight="1" s="140">
      <c r="A11" s="126" t="inlineStr">
        <is>
          <t>N/A</t>
        </is>
      </c>
      <c r="B11" s="127" t="n">
        <v>46307</v>
      </c>
      <c r="C11" s="121" t="n">
        <v>0.5138888888888888</v>
      </c>
      <c r="D11" s="123" t="inlineStr">
        <is>
          <t xml:space="preserve">Intento de conexion desde una IP con mala reputación </t>
        </is>
      </c>
      <c r="E11" s="130" t="inlineStr">
        <is>
          <t>Stellar Cyber</t>
        </is>
      </c>
      <c r="F11" s="130" t="inlineStr">
        <is>
          <t>Otros</t>
        </is>
      </c>
      <c r="G11" s="129" t="inlineStr">
        <is>
          <t>Cerrado</t>
        </is>
      </c>
      <c r="H11" s="130" t="inlineStr">
        <is>
          <t>Bajo</t>
        </is>
      </c>
      <c r="I11" s="130" t="inlineStr">
        <is>
          <t>Baja</t>
        </is>
      </c>
      <c r="J11" s="130" t="inlineStr">
        <is>
          <t>Baja</t>
        </is>
      </c>
      <c r="K11" s="130">
        <f t="array" ref="K11">IF(OR($H11="",$I11=""),"",INDEX(PARAMETROS!$C$6:$E$8,MATCH($H11,PARAMETROS!$B$6:$B$8,0),MATCH($I11,PARAMETROS!$C$5:$E$5,0)))</f>
        <v/>
      </c>
      <c r="L11" s="131" t="inlineStr">
        <is>
          <t>118.145.104.37 (China, Reputación: Brute_Force, Threat Score: 98)</t>
        </is>
      </c>
      <c r="M11" s="123" t="inlineStr">
        <is>
          <t>190.104.178.146 (DNAT hacia servidor interno 10.11.3.196 por el puerto 80 - digitalcert.technoma.com.py)</t>
        </is>
      </c>
      <c r="N11" s="132" t="inlineStr">
        <is>
          <t>Registrar y confirmar el bloqueo exitoso del tráfico malicioso.</t>
        </is>
      </c>
      <c r="O11" s="130" t="inlineStr">
        <is>
          <t>N/A</t>
        </is>
      </c>
      <c r="P11" s="130" t="inlineStr">
        <is>
          <t>N/A</t>
        </is>
      </c>
      <c r="Q11" s="123" t="inlineStr">
        <is>
          <t>Firewall FortiGate (FG-Technoma), Servidor DigitalCert</t>
        </is>
      </c>
      <c r="R11" s="123" t="inlineStr">
        <is>
          <t>1. Verificación de logs del firewall. 2. Análisis de reputación de IP origen y Threat Score. 3. Confirmación de la aplicación de la política de bloqueo automático ("Block_Countries").</t>
        </is>
      </c>
      <c r="S11" s="130" t="inlineStr">
        <is>
          <t>No</t>
        </is>
      </c>
      <c r="T11" s="130" t="n"/>
      <c r="U11" s="130" t="inlineStr">
        <is>
          <t>N/A</t>
        </is>
      </c>
      <c r="V11" s="112" t="inlineStr">
        <is>
          <t>N/A</t>
        </is>
      </c>
      <c r="W11" s="112" t="inlineStr">
        <is>
          <t>N/A</t>
        </is>
      </c>
      <c r="X11" s="133" t="n">
        <v>46307</v>
      </c>
      <c r="Y11" s="95" t="n">
        <v>0.5138888888888888</v>
      </c>
      <c r="Z11" s="112" t="n">
        <v>0</v>
      </c>
      <c r="AA11" s="108" t="n">
        <v>46307</v>
      </c>
      <c r="AB11" s="109" t="n">
        <v>0.5138888888888888</v>
      </c>
      <c r="AC11" s="123" t="inlineStr">
        <is>
          <t>Intento de conexión entrante (HTTP/Puerto 80) desde IP proveniente de China catalogada como "Brute_Forcer".</t>
        </is>
      </c>
      <c r="AD11" s="123" t="inlineStr">
        <is>
          <t>Bloqueo automático ("deny") ejecutado en capa de red por la política del firewall "Block_Countries" (ID: 262).</t>
        </is>
      </c>
      <c r="AE11" s="130" t="n">
        <v>0</v>
      </c>
      <c r="AF11" s="130" t="inlineStr">
        <is>
          <t xml:space="preserve">Si </t>
        </is>
      </c>
      <c r="AG11" s="127" t="n">
        <v>46307</v>
      </c>
      <c r="AH11" s="130" t="n">
        <v>0</v>
      </c>
      <c r="AI11" s="123" t="inlineStr">
        <is>
          <t>Bloqueo automático confirmado en logs (craction=131072, action=deny).</t>
        </is>
      </c>
      <c r="AJ11" s="130" t="inlineStr">
        <is>
          <t>Conforme</t>
        </is>
      </c>
      <c r="AK11" s="130" t="inlineStr">
        <is>
          <t>Guillermo Cabañas</t>
        </is>
      </c>
      <c r="AL11" s="130" t="inlineStr">
        <is>
          <t>N/A</t>
        </is>
      </c>
      <c r="AM11" s="130" t="inlineStr">
        <is>
          <t>Guillermo Cabañas</t>
        </is>
      </c>
      <c r="AN11" s="130" t="inlineStr">
        <is>
          <t>N/A</t>
        </is>
      </c>
      <c r="AO11" s="134" t="n"/>
      <c r="AP11" s="134" t="n"/>
      <c r="AQ11" s="134" t="n"/>
      <c r="AR11" s="134" t="n"/>
      <c r="AS11" s="134" t="n"/>
      <c r="AT11" s="134" t="n"/>
      <c r="AU11" s="134" t="n"/>
      <c r="AV11" s="134" t="n"/>
    </row>
    <row r="12" ht="93" customHeight="1" s="140">
      <c r="A12" s="126" t="inlineStr">
        <is>
          <t>N/A</t>
        </is>
      </c>
      <c r="B12" s="127" t="n">
        <v>46308</v>
      </c>
      <c r="C12" s="121" t="n">
        <v>0.4125</v>
      </c>
      <c r="D12" s="123" t="inlineStr">
        <is>
          <t xml:space="preserve">Conexion permitida desde IP con mala reputacion </t>
        </is>
      </c>
      <c r="E12" s="130" t="inlineStr">
        <is>
          <t>Stellar Cyber</t>
        </is>
      </c>
      <c r="F12" s="130" t="inlineStr">
        <is>
          <t>Otros</t>
        </is>
      </c>
      <c r="G12" s="129" t="inlineStr">
        <is>
          <t>Cerrado</t>
        </is>
      </c>
      <c r="H12" s="130" t="inlineStr">
        <is>
          <t>Bajo</t>
        </is>
      </c>
      <c r="I12" s="130" t="inlineStr">
        <is>
          <t>Baja</t>
        </is>
      </c>
      <c r="J12" s="130" t="inlineStr">
        <is>
          <t>Baja</t>
        </is>
      </c>
      <c r="K12" s="130" t="inlineStr">
        <is>
          <t>P4</t>
        </is>
      </c>
      <c r="L12" s="135" t="inlineStr">
        <is>
          <t>16.5.0.228 (Brasil, ASN: 401661 - EMBNEX, LLC)</t>
        </is>
      </c>
      <c r="M12" s="123" t="inlineStr">
        <is>
          <t>190.104.178.146 (DNAT hacia servidor interno 10.11.3.196 por el puerto 80 - digitalcert.technoma.com.py)</t>
        </is>
      </c>
      <c r="N12" s="132" t="inlineStr">
        <is>
          <t>Investigar la conexión catalogada como maliciosa, determinar si hubo compromiso y documentar la justificación.</t>
        </is>
      </c>
      <c r="O12" s="130" t="inlineStr">
        <is>
          <t>N/A</t>
        </is>
      </c>
      <c r="P12" s="130" t="inlineStr">
        <is>
          <t>N/A</t>
        </is>
      </c>
      <c r="Q12" s="123" t="inlineStr">
        <is>
          <t>Firewall FortiGate (FG-Technoma), Servidor DigitalCert</t>
        </is>
      </c>
      <c r="R12" s="123" t="inlineStr">
        <is>
          <t xml:space="preserve">1. Analisis de los logs del firewall. 2. Verificación de la reputación de la ip origen (Scanner). 3. Validación del comportamiento de la sesión (tráfico transferido y estado de cierre. </t>
        </is>
      </c>
      <c r="S12" s="130" t="inlineStr">
        <is>
          <t>No</t>
        </is>
      </c>
      <c r="T12" s="130" t="n"/>
      <c r="U12" s="130" t="inlineStr">
        <is>
          <t>N/A</t>
        </is>
      </c>
      <c r="V12" s="112" t="inlineStr">
        <is>
          <t>N/A</t>
        </is>
      </c>
      <c r="W12" s="112" t="inlineStr">
        <is>
          <t>N/A</t>
        </is>
      </c>
      <c r="X12" s="133" t="n">
        <v>46308</v>
      </c>
      <c r="Y12" s="95" t="n">
        <v>0.4236111111111111</v>
      </c>
      <c r="Z12" s="112" t="n">
        <v>0</v>
      </c>
      <c r="AA12" s="108" t="n"/>
      <c r="AB12" s="109" t="n"/>
      <c r="AC12" s="123" t="inlineStr">
        <is>
          <t>El sensor XDR marcó la IP 16.5.0.228 con un Threat Score de 98 debido a su comportamiento y reputación previa como "Scanner"</t>
        </is>
      </c>
      <c r="AD12" s="123" t="inlineStr">
        <is>
          <t>Se documenta el evento. La sesión fue permitida por la política legítima del firewall ("Publicacion DigitalCert" ID: 219) y finalizada normalmente tras 2 segundos de duración. Al tratarse de un servicio público, la recepción de tráfico de escaneo es un comportamiento esperado en la exposición a Internet.</t>
        </is>
      </c>
      <c r="AE12" s="123" t="inlineStr">
        <is>
          <t>0.25</t>
        </is>
      </c>
      <c r="AF12" s="130" t="inlineStr">
        <is>
          <t xml:space="preserve">Si </t>
        </is>
      </c>
      <c r="AG12" s="127" t="n">
        <v>46308</v>
      </c>
      <c r="AH12" s="130" t="n">
        <v>0</v>
      </c>
      <c r="AI12" s="123" t="inlineStr">
        <is>
          <t>Comportamiento de escaneo sobre servicio público; cierre normal de sesión evidenciado en logs (action=close).</t>
        </is>
      </c>
      <c r="AJ12" s="130" t="inlineStr">
        <is>
          <t>Conforme</t>
        </is>
      </c>
      <c r="AK12" s="130" t="inlineStr">
        <is>
          <t>Guillermo Cabañas</t>
        </is>
      </c>
      <c r="AL12" s="130" t="inlineStr">
        <is>
          <t>N/A</t>
        </is>
      </c>
      <c r="AM12" s="130" t="inlineStr">
        <is>
          <t>Guillermo Cabañas</t>
        </is>
      </c>
      <c r="AN12" s="130" t="inlineStr">
        <is>
          <t>N/A</t>
        </is>
      </c>
      <c r="AO12" s="134" t="n"/>
      <c r="AP12" s="134" t="n"/>
      <c r="AQ12" s="134" t="n"/>
      <c r="AR12" s="134" t="n"/>
      <c r="AS12" s="134" t="n"/>
      <c r="AT12" s="134" t="n"/>
      <c r="AU12" s="134" t="n"/>
      <c r="AV12" s="134" t="n"/>
    </row>
    <row r="13" ht="117" customHeight="1" s="140">
      <c r="A13" s="120" t="inlineStr">
        <is>
          <t>N/A</t>
        </is>
      </c>
      <c r="B13" s="108" t="n">
        <v>46308</v>
      </c>
      <c r="C13" s="121" t="n">
        <v>0.3277777777777778</v>
      </c>
      <c r="D13" s="115" t="inlineStr">
        <is>
          <t xml:space="preserve">Intento de conexion desde una IP con mala reputación </t>
        </is>
      </c>
      <c r="E13" s="112" t="inlineStr">
        <is>
          <t>Stellar Cyber</t>
        </is>
      </c>
      <c r="F13" s="112" t="inlineStr">
        <is>
          <t>Otros</t>
        </is>
      </c>
      <c r="G13" s="111" t="inlineStr">
        <is>
          <t>Cerrado</t>
        </is>
      </c>
      <c r="H13" s="112" t="inlineStr">
        <is>
          <t>Bajo</t>
        </is>
      </c>
      <c r="I13" s="112" t="inlineStr">
        <is>
          <t>Baja</t>
        </is>
      </c>
      <c r="J13" s="112" t="inlineStr">
        <is>
          <t>Baja</t>
        </is>
      </c>
      <c r="K13" s="112" t="inlineStr">
        <is>
          <t>P4</t>
        </is>
      </c>
      <c r="L13" s="115" t="inlineStr">
        <is>
          <t>167.94.146.59 (ASN: Censys, Inc., Reputación: Brute_Forcer, Threat Score: 98)</t>
        </is>
      </c>
      <c r="M13" s="123" t="inlineStr">
        <is>
          <t>190.104.178.146 (DNAT hacia servidor interno 10.11.3.196 por el puerto 5672)</t>
        </is>
      </c>
      <c r="N13" s="123" t="inlineStr">
        <is>
          <t>Registrar y confirmar el bloqueo exitoso del tráfico no deseado.</t>
        </is>
      </c>
      <c r="O13" s="112" t="inlineStr">
        <is>
          <t>N/A</t>
        </is>
      </c>
      <c r="P13" s="112" t="inlineStr">
        <is>
          <t>N/A</t>
        </is>
      </c>
      <c r="Q13" s="123" t="inlineStr">
        <is>
          <t>Firewall FortiGate (FG-Technoma)</t>
        </is>
      </c>
      <c r="R13" s="123" t="inlineStr">
        <is>
          <t>1. Verificación de logs del firewall. 2. Análisis de reputación de IP origen y Threat Score. 3. Confirmación de la aplicación de la política de bloqueo automático ("Block_Countries").</t>
        </is>
      </c>
      <c r="S13" s="112" t="inlineStr">
        <is>
          <t>No</t>
        </is>
      </c>
      <c r="T13" s="112" t="n"/>
      <c r="U13" s="112" t="inlineStr">
        <is>
          <t>N/A</t>
        </is>
      </c>
      <c r="V13" s="112" t="inlineStr">
        <is>
          <t>N/A</t>
        </is>
      </c>
      <c r="W13" s="116" t="inlineStr">
        <is>
          <t>N/A</t>
        </is>
      </c>
      <c r="X13" s="94" t="n">
        <v>46308</v>
      </c>
      <c r="Y13" s="114" t="inlineStr">
        <is>
          <t>N/A</t>
        </is>
      </c>
      <c r="Z13" s="117" t="n">
        <v>0</v>
      </c>
      <c r="AA13" s="113" t="n">
        <v>46308</v>
      </c>
      <c r="AB13" s="112" t="inlineStr">
        <is>
          <t>N/A</t>
        </is>
      </c>
      <c r="AC13" s="123" t="inlineStr">
        <is>
          <t>Intento de escaneo o conexión entrante (TCP/puerto 5672) desde la IP catalogada como "Brute_Forcer" (asociada a infraestructura de Censys).</t>
        </is>
      </c>
      <c r="AD13" s="123" t="inlineStr">
        <is>
          <t>Bloqueo automático ("deny") ejecutado en capa de red por la política del firewall "Block_Countries" (ID: 262).</t>
        </is>
      </c>
      <c r="AE13" s="125" t="n">
        <v>0</v>
      </c>
      <c r="AF13" s="114" t="inlineStr">
        <is>
          <t xml:space="preserve">Si </t>
        </is>
      </c>
      <c r="AG13" s="118" t="n">
        <v>46308</v>
      </c>
      <c r="AH13" s="112" t="n">
        <v>0</v>
      </c>
      <c r="AI13" s="115" t="inlineStr">
        <is>
          <t>Bloqueo automático confirmado en logs (craction=131072, action=deny).</t>
        </is>
      </c>
      <c r="AJ13" s="112" t="inlineStr">
        <is>
          <t>Conforme</t>
        </is>
      </c>
      <c r="AK13" s="130" t="inlineStr">
        <is>
          <t>Guillermo Cabañas</t>
        </is>
      </c>
      <c r="AL13" s="130" t="inlineStr">
        <is>
          <t>N/A</t>
        </is>
      </c>
      <c r="AM13" s="130" t="inlineStr">
        <is>
          <t>Guillermo Cabañas</t>
        </is>
      </c>
      <c r="AN13" s="130" t="inlineStr">
        <is>
          <t>N/A</t>
        </is>
      </c>
      <c r="AO13" s="106" t="n"/>
      <c r="AP13" s="106" t="n"/>
      <c r="AQ13" s="106" t="n"/>
      <c r="AR13" s="106" t="n"/>
      <c r="AS13" s="106" t="n"/>
      <c r="AT13" s="106" t="n"/>
      <c r="AU13" s="106" t="n"/>
      <c r="AV13" s="106" t="n"/>
    </row>
    <row r="14" ht="117" customHeight="1" s="140">
      <c r="A14" s="120" t="inlineStr">
        <is>
          <t>N/A</t>
        </is>
      </c>
      <c r="B14" s="108" t="n">
        <v>46308</v>
      </c>
      <c r="C14" s="121" t="n">
        <v>0.4701388888888889</v>
      </c>
      <c r="D14" s="115" t="inlineStr">
        <is>
          <t>Intento de conexion desde una IP con mala reputación (Bloqueado)</t>
        </is>
      </c>
      <c r="E14" s="112" t="inlineStr">
        <is>
          <t>Stellar Cyber (FortiGate)</t>
        </is>
      </c>
      <c r="F14" s="112" t="inlineStr">
        <is>
          <t>Otros</t>
        </is>
      </c>
      <c r="G14" s="111" t="inlineStr">
        <is>
          <t>Cerrado</t>
        </is>
      </c>
      <c r="H14" s="112" t="inlineStr">
        <is>
          <t>Bajo</t>
        </is>
      </c>
      <c r="I14" s="112" t="inlineStr">
        <is>
          <t>Baja</t>
        </is>
      </c>
      <c r="J14" s="112" t="inlineStr">
        <is>
          <t>Baja</t>
        </is>
      </c>
      <c r="K14" s="112" t="inlineStr">
        <is>
          <t xml:space="preserve">P4 </t>
        </is>
      </c>
      <c r="L14" s="115" t="inlineStr">
        <is>
          <t xml:space="preserve">45.148.10.175(Paises Bajos, ASN: Techoff Srv Limited). La IP cuenta Abuase Confidence Score de 100% (Crítico) y acumula, 7,720 reportes de abuso, principalmene por escaneo de puertos (4178 veces) y ataques de fuerza bruta. </t>
        </is>
      </c>
      <c r="M14" s="123" t="inlineStr">
        <is>
          <t>190.104.178.146 (DNAT hacia servidor interno 10.11.3.190 por el puerto 433; puerto de destino inicial 1443)</t>
        </is>
      </c>
      <c r="N14" s="123" t="inlineStr">
        <is>
          <t xml:space="preserve">Registrar y confirmar el bloqueo exitoso de tráfico malicioso. </t>
        </is>
      </c>
      <c r="O14" s="112" t="inlineStr">
        <is>
          <t>N/A</t>
        </is>
      </c>
      <c r="P14" s="112" t="inlineStr">
        <is>
          <t>N/A</t>
        </is>
      </c>
      <c r="Q14" s="123" t="inlineStr">
        <is>
          <t>Firewall FortiGate (FG-Technoma)</t>
        </is>
      </c>
      <c r="R14" s="123" t="inlineStr">
        <is>
          <t>1. Análisis de los logs del firewall. 2. Verificación de la reputación de la IP origen en bases de datos de inteligencia de amenazas, lo cual confirma su naturaleza maliciosa.   3. Validación de la correcta aplicación de la política de bloqueo automático ("Block_Countries").</t>
        </is>
      </c>
      <c r="S14" s="112" t="inlineStr">
        <is>
          <t>No</t>
        </is>
      </c>
      <c r="T14" s="112" t="n"/>
      <c r="U14" s="112" t="inlineStr">
        <is>
          <t>N/A</t>
        </is>
      </c>
      <c r="V14" s="112" t="inlineStr">
        <is>
          <t>N/A</t>
        </is>
      </c>
      <c r="W14" s="116" t="inlineStr">
        <is>
          <t>N/A</t>
        </is>
      </c>
      <c r="X14" s="94" t="n">
        <v>46308</v>
      </c>
      <c r="Y14" s="114" t="inlineStr">
        <is>
          <t>N/A</t>
        </is>
      </c>
      <c r="Z14" s="95" t="n">
        <v>0.4701388888888889</v>
      </c>
      <c r="AA14" s="113" t="n">
        <v>46308</v>
      </c>
      <c r="AB14" s="112" t="inlineStr">
        <is>
          <t>N/A</t>
        </is>
      </c>
      <c r="AC14" s="123" t="inlineStr">
        <is>
          <t>Intento de conexión entrante (TCP/Puerto 1443) desde la IP 45.148.10.175 catalogada con Threat Score de 98 ("Brute_Forcer") y confirmada externamente como un nodo activo de ataques web y escaneo</t>
        </is>
      </c>
      <c r="AD14" s="123" t="inlineStr">
        <is>
          <t>Bloqueo automático ("deny") ejecutado en capa de red por la política del firewall "Block_Countries" (ID: 262).</t>
        </is>
      </c>
      <c r="AE14" s="125" t="n">
        <v>0</v>
      </c>
      <c r="AF14" s="114" t="inlineStr">
        <is>
          <t xml:space="preserve">Si </t>
        </is>
      </c>
      <c r="AG14" s="118" t="n">
        <v>46308</v>
      </c>
      <c r="AH14" s="112" t="n">
        <v>0</v>
      </c>
      <c r="AI14" s="115" t="inlineStr">
        <is>
          <t>Bloqueo automático confirmado en logs (craction=131072, action=deny).</t>
        </is>
      </c>
      <c r="AJ14" s="112" t="inlineStr">
        <is>
          <t>Conforme</t>
        </is>
      </c>
      <c r="AK14" s="130" t="inlineStr">
        <is>
          <t>Guillermo Cabañas</t>
        </is>
      </c>
      <c r="AL14" s="130" t="inlineStr">
        <is>
          <t>N/A</t>
        </is>
      </c>
      <c r="AM14" s="130" t="inlineStr">
        <is>
          <t>Guillermo Cabañas</t>
        </is>
      </c>
      <c r="AN14" s="130" t="inlineStr">
        <is>
          <t>N/A</t>
        </is>
      </c>
      <c r="AO14" s="106" t="n"/>
      <c r="AP14" s="106" t="n"/>
      <c r="AQ14" s="106" t="n"/>
      <c r="AR14" s="106" t="n"/>
      <c r="AS14" s="106" t="n"/>
      <c r="AT14" s="106" t="n"/>
      <c r="AU14" s="106" t="n"/>
      <c r="AV14" s="106" t="n"/>
    </row>
    <row r="15" ht="138.75" customHeight="1" s="140">
      <c r="A15" s="120" t="inlineStr">
        <is>
          <t>N/A</t>
        </is>
      </c>
      <c r="B15" s="108" t="n">
        <v>46308</v>
      </c>
      <c r="C15" s="121" t="n">
        <v>0.5118055555555555</v>
      </c>
      <c r="D15" s="115" t="inlineStr">
        <is>
          <t>Intento de conexion desde una IP con mala reputación  (Bloqueado)</t>
        </is>
      </c>
      <c r="E15" s="112" t="inlineStr">
        <is>
          <t>Stellar Cyber (FortiGate)</t>
        </is>
      </c>
      <c r="F15" s="112" t="inlineStr">
        <is>
          <t>Otros</t>
        </is>
      </c>
      <c r="G15" s="111" t="inlineStr">
        <is>
          <t>Cerrado</t>
        </is>
      </c>
      <c r="H15" s="112" t="inlineStr">
        <is>
          <t>Bajo</t>
        </is>
      </c>
      <c r="I15" s="112" t="inlineStr">
        <is>
          <t>Baja</t>
        </is>
      </c>
      <c r="J15" s="112" t="inlineStr">
        <is>
          <t>Baja</t>
        </is>
      </c>
      <c r="K15" s="112" t="inlineStr">
        <is>
          <t xml:space="preserve">P4 </t>
        </is>
      </c>
      <c r="L15" s="115" t="inlineStr">
        <is>
          <t xml:space="preserve">5.61.209.106 (Paises Bajos, ASN: Amarutu Technology Ltd). La IP cuenta con un Abuse Confidence Score de 100% (Crítico) y acumula 3,880 reportes de abuso, destacando el escaneo de puertos y los ataques a aplicaciones web. </t>
        </is>
      </c>
      <c r="M15" s="123" t="inlineStr">
        <is>
          <t xml:space="preserve">190.104.178.146 (DNAT hacia servidor interno 10.11.3.196 por el puerto 80) </t>
        </is>
      </c>
      <c r="N15" s="123" t="inlineStr">
        <is>
          <t xml:space="preserve">Registrar y confirmar el bloqueo exitoso de tráfico malicioso. </t>
        </is>
      </c>
      <c r="O15" s="112" t="inlineStr">
        <is>
          <t>N/A</t>
        </is>
      </c>
      <c r="P15" s="112" t="inlineStr">
        <is>
          <t>N/A</t>
        </is>
      </c>
      <c r="Q15" s="123" t="inlineStr">
        <is>
          <t>Firewall FortiGate (FG-Technoma)</t>
        </is>
      </c>
      <c r="R15" s="123" t="inlineStr">
        <is>
          <t>1. Análisis de los logs del firewall. 2. Verificación de la reputación de la IP origen en bases de datos de inteligencia de amenazas, lo cual confirma su naturaleza maliciosa.   3. Validación de la correcta aplicación de la política de bloqueo automático ("Block_Countries").</t>
        </is>
      </c>
      <c r="S15" s="112" t="inlineStr">
        <is>
          <t>No</t>
        </is>
      </c>
      <c r="T15" s="112" t="n"/>
      <c r="U15" s="112" t="inlineStr">
        <is>
          <t>N/A</t>
        </is>
      </c>
      <c r="V15" s="112" t="inlineStr">
        <is>
          <t>N/A</t>
        </is>
      </c>
      <c r="W15" s="116" t="inlineStr">
        <is>
          <t>N/A</t>
        </is>
      </c>
      <c r="X15" s="94" t="n">
        <v>46308</v>
      </c>
      <c r="Y15" s="114" t="inlineStr">
        <is>
          <t>N/A</t>
        </is>
      </c>
      <c r="Z15" s="95" t="n">
        <v>0.5173611111111112</v>
      </c>
      <c r="AA15" s="113" t="n">
        <v>46308</v>
      </c>
      <c r="AB15" s="112" t="n"/>
      <c r="AC15" s="123" t="inlineStr">
        <is>
          <t>Intento de conexión entrante (HTTP/Puerto 80) desde la IP 5.61.209.106 catalogada como "maliciosa" en los logs y confirmada externamente como un nodo muy activo con 2942 reportes de escaneo de puertos y 893 reportes de ataques a aplicaciones web.</t>
        </is>
      </c>
      <c r="AD15" s="123" t="inlineStr">
        <is>
          <t>Bloqueo automático ("deny") ejecutado en capa de red por la política del firewall "Block_Countries" (ID: 262).</t>
        </is>
      </c>
      <c r="AE15" s="125" t="n">
        <v>0</v>
      </c>
      <c r="AF15" s="114" t="inlineStr">
        <is>
          <t xml:space="preserve">Si </t>
        </is>
      </c>
      <c r="AG15" s="118" t="n">
        <v>46308</v>
      </c>
      <c r="AH15" s="109" t="n">
        <v>0.51875</v>
      </c>
      <c r="AI15" s="115" t="inlineStr">
        <is>
          <t>Bloqueo automático confirmado en logs (craction=131072, action=deny).</t>
        </is>
      </c>
      <c r="AJ15" s="112" t="inlineStr">
        <is>
          <t>Conforme</t>
        </is>
      </c>
      <c r="AK15" s="130" t="inlineStr">
        <is>
          <t>Guillermo Cabañas</t>
        </is>
      </c>
      <c r="AL15" s="130" t="inlineStr">
        <is>
          <t>N/A</t>
        </is>
      </c>
      <c r="AM15" s="130" t="inlineStr">
        <is>
          <t>Guillermo Cabañas</t>
        </is>
      </c>
      <c r="AN15" s="123" t="inlineStr">
        <is>
          <t>El tráfico fue denegado efectivamente por la política de bloqueo. No hubo transferencia de bytes (totalbytes: 0) hacia la red LAN interna. La evidencia externa consolida la peligrosidad de la IP asociada al ISP Amarutu Technology Ltd y al dominio koddos.net, confirmando que no existe riesgo de compromiso.</t>
        </is>
      </c>
      <c r="AO15" s="106" t="n"/>
      <c r="AP15" s="106" t="n"/>
      <c r="AQ15" s="106" t="n"/>
      <c r="AR15" s="106" t="n"/>
      <c r="AS15" s="106" t="n"/>
      <c r="AT15" s="106" t="n"/>
      <c r="AU15" s="106" t="n"/>
      <c r="AV15" s="106" t="n"/>
    </row>
    <row r="16" ht="184.5" customHeight="1" s="140">
      <c r="A16" s="105" t="inlineStr">
        <is>
          <t>THN-SOC-102</t>
        </is>
      </c>
      <c r="B16" s="75" t="n">
        <v>46309</v>
      </c>
      <c r="C16" s="76" t="n">
        <v>0.5763888888888888</v>
      </c>
      <c r="D16" s="77" t="inlineStr">
        <is>
          <t>Intento de Acceso con Cuenta Desvinculada y Credenciales en Texto Claro</t>
        </is>
      </c>
      <c r="E16" s="92" t="inlineStr">
        <is>
          <t>Stellar Cyber</t>
        </is>
      </c>
      <c r="F16" s="92" t="inlineStr">
        <is>
          <t>Compromiso de la información</t>
        </is>
      </c>
      <c r="G16" s="82" t="inlineStr">
        <is>
          <t>Cerrado</t>
        </is>
      </c>
      <c r="H16" s="92" t="inlineStr">
        <is>
          <t>Bajo</t>
        </is>
      </c>
      <c r="I16" s="92" t="inlineStr">
        <is>
          <t>Media</t>
        </is>
      </c>
      <c r="J16" s="92" t="inlineStr">
        <is>
          <t>Baja</t>
        </is>
      </c>
      <c r="K16" s="92">
        <f>IF(OR($H16="",$I16=""),"",INDEX(PARAMETROS!$C$6:$E$8,MATCH($H16,PARAMETROS!$B$6:$B$8,0),MATCH($I16,PARAMETROS!$C$5:$E$5,0)))</f>
        <v/>
      </c>
      <c r="L16" s="92" t="inlineStr">
        <is>
          <t>192.168.15.27 (Servidor Zabbix) / LDAP 
Simple Bind</t>
        </is>
      </c>
      <c r="M16" s="92" t="inlineStr">
        <is>
          <t>Dominio Active 
Directory technoma.
local / OU Usuarios
datos de baja</t>
        </is>
      </c>
      <c r="N16" s="92" t="inlineStr">
        <is>
          <t>N/A</t>
        </is>
      </c>
      <c r="O16" s="92" t="inlineStr">
        <is>
          <t>Kevin Moraes</t>
        </is>
      </c>
      <c r="P16" s="92" t="inlineStr">
        <is>
          <t>SOC Technoma, NOC Technoma</t>
        </is>
      </c>
      <c r="Q16" s="93" t="inlineStr">
        <is>
          <t>192.168.15.27, 10.11.1.1,
 Cuenta AD: Mario Flores</t>
        </is>
      </c>
      <c r="R16" s="77" t="inlineStr">
        <is>
          <t xml:space="preserve">Detección de intentos de autenticación de usuario desvinculado por puerto 389. Emisión de RFA a Infraestructura para auditar origen del login. Migrar autenticacion a LDAPS puerto 636 </t>
        </is>
      </c>
      <c r="S16" s="92" t="inlineStr">
        <is>
          <t>Sí</t>
        </is>
      </c>
      <c r="T16" s="92" t="inlineStr">
        <is>
          <t>N2 - Analista de seguridad (L2_Queue)</t>
        </is>
      </c>
      <c r="U16" s="92" t="inlineStr">
        <is>
          <t>NOC</t>
        </is>
      </c>
      <c r="V16" s="136" t="n">
        <v>46309.59513888889</v>
      </c>
      <c r="W16" s="92" t="inlineStr">
        <is>
          <t>Verificación de origen de autenticación de usuario desvinculado</t>
        </is>
      </c>
      <c r="X16" s="94" t="n">
        <v>46309</v>
      </c>
      <c r="Y16" s="95" t="n">
        <v>0.5951388888888889</v>
      </c>
      <c r="Z16" s="117">
        <f>IF(OR($B16="",$X16=""),"",ROUND((($X16+$Y16)-($B16+$C16))*24,1))</f>
        <v/>
      </c>
      <c r="AA16" s="99" t="n">
        <v>46310</v>
      </c>
      <c r="AB16" s="76" t="n">
        <v>0.4138888888888889</v>
      </c>
      <c r="AC16" s="77" t="inlineStr">
        <is>
          <t>Uso de LDAP no cifrado (puerto 389) en Zabbix e intentos de autenticación de usuario desvinculado (Mario Flores) con contraseña por defecto.</t>
        </is>
      </c>
      <c r="AD16" s="92" t="inlineStr">
        <is>
          <t>Emisión de RFA solicitando 
verficiacion de origen de las 
peticiones</t>
        </is>
      </c>
      <c r="AE16" s="137">
        <f>IF(OR($B16="",$AA16=""),"",ROUND((($AA16+$AB16)-($B16+$C16))*24,1))</f>
        <v/>
      </c>
      <c r="AF16" s="105">
        <f>IF(OR($Z16="",$K16=""),"",IF($Z16&lt;=INDEX(PARAMETROS!$E$25:$E$28,MATCH($K16,PARAMETROS!$A$25:$A$28,0)),"Sí","No"))</f>
        <v/>
      </c>
      <c r="AG16" s="99" t="n">
        <v>46310</v>
      </c>
      <c r="AH16" s="76" t="inlineStr">
        <is>
          <t>09:56:00</t>
        </is>
      </c>
      <c r="AI16" s="92" t="inlineStr">
        <is>
          <t>Se modificó la configuración en ambas 
instancias (archivos de config y DNS) 
cambiando el protocolo de ldap:// a 
ldaps:// (tráfico cifrado/puerto 636) y 
actualizando el Bind DN a zbx-ldaps.
Se procedió a la eliminación de la cuenta
 local del usuario Mario Flores en ambas
 instancias de Zabbix.</t>
        </is>
      </c>
      <c r="AJ16" s="92" t="inlineStr">
        <is>
          <t>Conforme</t>
        </is>
      </c>
      <c r="AK16" s="92" t="inlineStr">
        <is>
          <t>Kevin Moraes</t>
        </is>
      </c>
      <c r="AL16" s="77" t="inlineStr">
        <is>
          <t>1) Fortalecer el procedimiento de offboarding entre RRHH y TI, asegurando que la desvinculación en Active Directory incluya la purga inmediata de cuentas locales en plataformas de gestión (Zabbix). 2) Establecer como línea base de seguridad la prohibición de LDAP simple (puerto 389) en favor de LDAPS cifrado (puerto 636) para toda integración de autenticación en la infraestructura interna.</t>
        </is>
      </c>
      <c r="AM16" s="92" t="inlineStr">
        <is>
          <t>Kevin Moraes</t>
        </is>
      </c>
      <c r="AN16" s="123" t="inlineStr">
        <is>
          <t>Incidente cerrado satisfactoriamente. El NOC ejecutó las recomendaciones técnicas del RFA del SOC: migración a LDAPS (puerto 636) con Bind DN zbx-ldaps y eliminación de la cuenta huérfana en ambas instancias de Zabbix. Telemetría de red normalizada sin nuevos eventos residuales.</t>
        </is>
      </c>
      <c r="AO16" s="106" t="n"/>
      <c r="AP16" s="106" t="n"/>
      <c r="AQ16" s="106" t="n"/>
      <c r="AR16" s="106" t="n"/>
      <c r="AS16" s="106" t="n"/>
      <c r="AT16" s="106" t="n"/>
      <c r="AU16" s="106" t="n"/>
      <c r="AV16" s="106" t="n"/>
    </row>
    <row r="17" ht="14.25" customHeight="1" s="140">
      <c r="F17" s="138" t="n"/>
      <c r="G17" s="138" t="n"/>
      <c r="H17" s="138" t="n"/>
      <c r="I17" s="138" t="n"/>
      <c r="J17" s="138" t="n"/>
      <c r="K17" s="138">
        <f t="array" ref="K17">IF(OR($H17="",$I17=""),"",INDEX(PARAMETROS!$C$6:$E$8,MATCH($H17,PARAMETROS!$B$6:$B$8,0),MATCH($I17,PARAMETROS!$C$5:$E$5,0)))</f>
        <v/>
      </c>
      <c r="S17" s="138" t="n"/>
      <c r="T17" s="138" t="n"/>
      <c r="V17" s="139" t="n"/>
      <c r="W17" s="4" t="n"/>
      <c r="X17" s="4" t="n"/>
      <c r="Y17" s="4" t="n"/>
      <c r="Z17" s="4" t="n"/>
      <c r="AA17" s="4" t="n"/>
      <c r="AB17" s="4" t="n"/>
      <c r="AC17" s="4" t="n"/>
      <c r="AD17" s="4" t="n"/>
      <c r="AF17" s="138">
        <f t="array" ref="AF17">IF(OR($Z17="",$K17=""),"",IF($Z17&lt;=INDEX(PARAMETROS!$E$25:$E$28,MATCH($K17,PARAMETROS!$A$25:$A$28,0)),"Sí","No"))</f>
        <v/>
      </c>
      <c r="AJ17" s="138" t="n"/>
    </row>
    <row r="18" ht="14.25" customHeight="1" s="140">
      <c r="F18" s="138" t="n"/>
      <c r="G18" s="138" t="n"/>
      <c r="H18" s="138" t="n"/>
      <c r="I18" s="138" t="n"/>
      <c r="J18" s="138" t="n"/>
      <c r="K18" s="138">
        <f t="array" ref="K18">IF(OR($H18="",$I18=""),"",INDEX(PARAMETROS!$C$6:$E$8,MATCH($H18,PARAMETROS!$B$6:$B$8,0),MATCH($I18,PARAMETROS!$C$5:$E$5,0)))</f>
        <v/>
      </c>
      <c r="S18" s="138" t="n"/>
      <c r="T18" s="138" t="n"/>
      <c r="V18" s="139" t="n"/>
      <c r="W18" s="4" t="n"/>
      <c r="X18" s="4" t="n"/>
      <c r="Y18" s="4" t="n"/>
      <c r="Z18" s="4" t="n"/>
      <c r="AA18" s="4" t="n"/>
      <c r="AB18" s="4" t="n"/>
      <c r="AC18" s="4" t="n"/>
      <c r="AD18" s="4" t="n"/>
      <c r="AF18" s="138">
        <f t="array" ref="AF18">IF(OR($Z18="",$K18=""),"",IF($Z18&lt;=INDEX(PARAMETROS!$E$25:$E$28,MATCH($K18,PARAMETROS!$A$25:$A$28,0)),"Sí","No"))</f>
        <v/>
      </c>
      <c r="AJ18" s="138" t="n"/>
    </row>
    <row r="19" ht="14.25" customHeight="1" s="140">
      <c r="F19" s="138" t="n"/>
      <c r="G19" s="138" t="n"/>
      <c r="H19" s="138" t="n"/>
      <c r="I19" s="138" t="n"/>
      <c r="J19" s="138" t="n"/>
      <c r="K19" s="138">
        <f t="array" ref="K19">IF(OR($H19="",$I19=""),"",INDEX(PARAMETROS!$C$6:$E$8,MATCH($H19,PARAMETROS!$B$6:$B$8,0),MATCH($I19,PARAMETROS!$C$5:$E$5,0)))</f>
        <v/>
      </c>
      <c r="S19" s="138" t="n"/>
      <c r="T19" s="138" t="n"/>
      <c r="V19" s="139" t="n"/>
      <c r="W19" s="4" t="n"/>
      <c r="X19" s="4" t="n"/>
      <c r="Y19" s="4" t="n"/>
      <c r="Z19" s="4" t="n"/>
      <c r="AA19" s="4" t="n"/>
      <c r="AB19" s="4" t="n"/>
      <c r="AC19" s="4" t="n"/>
      <c r="AD19" s="4" t="n"/>
      <c r="AF19" s="138">
        <f t="array" ref="AF19">IF(OR($Z19="",$K19=""),"",IF($Z19&lt;=INDEX(PARAMETROS!$E$25:$E$28,MATCH($K19,PARAMETROS!$A$25:$A$28,0)),"Sí","No"))</f>
        <v/>
      </c>
      <c r="AJ19" s="138" t="n"/>
    </row>
    <row r="20" ht="14.25" customHeight="1" s="140">
      <c r="F20" s="138" t="n"/>
      <c r="G20" s="138" t="n"/>
      <c r="H20" s="138" t="n"/>
      <c r="I20" s="138" t="n"/>
      <c r="J20" s="138" t="n"/>
      <c r="K20" s="138">
        <f t="array" ref="K20">IF(OR($H20="",$I20=""),"",INDEX(PARAMETROS!$C$6:$E$8,MATCH($H20,PARAMETROS!$B$6:$B$8,0),MATCH($I20,PARAMETROS!$C$5:$E$5,0)))</f>
        <v/>
      </c>
      <c r="S20" s="138" t="n"/>
      <c r="T20" s="138" t="n"/>
      <c r="V20" s="139" t="n"/>
      <c r="W20" s="4" t="n"/>
      <c r="X20" s="4" t="n"/>
      <c r="Y20" s="4" t="n"/>
      <c r="Z20" s="4" t="n"/>
      <c r="AA20" s="4" t="n"/>
      <c r="AB20" s="4" t="n"/>
      <c r="AC20" s="4" t="n"/>
      <c r="AD20" s="4" t="n"/>
      <c r="AF20" s="138">
        <f t="array" ref="AF20">IF(OR($Z20="",$K20=""),"",IF($Z20&lt;=INDEX(PARAMETROS!$E$25:$E$28,MATCH($K20,PARAMETROS!$A$25:$A$28,0)),"Sí","No"))</f>
        <v/>
      </c>
      <c r="AJ20" s="138" t="n"/>
    </row>
    <row r="21" ht="14.25" customHeight="1" s="140">
      <c r="F21" s="138" t="n"/>
      <c r="G21" s="138" t="n"/>
      <c r="H21" s="138" t="n"/>
      <c r="I21" s="138" t="n"/>
      <c r="J21" s="138" t="n"/>
      <c r="K21" s="138">
        <f t="array" ref="K21">IF(OR($H21="",$I21=""),"",INDEX(PARAMETROS!$C$6:$E$8,MATCH($H21,PARAMETROS!$B$6:$B$8,0),MATCH($I21,PARAMETROS!$C$5:$E$5,0)))</f>
        <v/>
      </c>
      <c r="S21" s="138" t="n"/>
      <c r="T21" s="138" t="n"/>
      <c r="V21" s="139" t="n"/>
      <c r="W21" s="4" t="n"/>
      <c r="X21" s="4" t="n"/>
      <c r="Y21" s="4" t="n"/>
      <c r="Z21" s="4" t="n"/>
      <c r="AA21" s="4" t="n"/>
      <c r="AB21" s="4" t="n"/>
      <c r="AC21" s="4" t="n"/>
      <c r="AD21" s="4" t="n"/>
      <c r="AF21" s="138">
        <f t="array" ref="AF21">IF(OR($Z21="",$K21=""),"",IF($Z21&lt;=INDEX(PARAMETROS!$E$25:$E$28,MATCH($K21,PARAMETROS!$A$25:$A$28,0)),"Sí","No"))</f>
        <v/>
      </c>
      <c r="AJ21" s="138" t="n"/>
    </row>
    <row r="22" ht="15" customHeight="1" s="140">
      <c r="F22" s="138" t="n"/>
      <c r="G22" s="138" t="n"/>
      <c r="H22" s="138" t="n"/>
      <c r="I22" s="138" t="n"/>
      <c r="J22" s="138" t="n"/>
      <c r="K22" s="138">
        <f t="array" ref="K22">IF(OR($H22="",$I22=""),"",INDEX(PARAMETROS!$C$6:$E$8,MATCH($H22,PARAMETROS!$B$6:$B$8,0),MATCH($I22,PARAMETROS!$C$5:$E$5,0)))</f>
        <v/>
      </c>
      <c r="S22" s="138" t="n"/>
      <c r="T22" s="138" t="n"/>
      <c r="V22" s="139" t="n"/>
      <c r="W22" s="4" t="n"/>
      <c r="X22" s="4" t="n"/>
      <c r="Y22" s="4" t="n"/>
      <c r="Z22" s="4" t="n"/>
      <c r="AA22" s="4" t="n"/>
      <c r="AB22" s="4" t="n"/>
      <c r="AC22" s="4" t="n"/>
      <c r="AD22" s="4" t="n"/>
      <c r="AF22" s="138">
        <f t="array" ref="AF22">IF(OR($Z22="",$K22=""),"",IF($Z22&lt;=INDEX(PARAMETROS!$E$25:$E$28,MATCH($K22,PARAMETROS!$A$25:$A$28,0)),"Sí","No"))</f>
        <v/>
      </c>
      <c r="AJ22" s="138" t="n"/>
    </row>
    <row r="23" ht="14.25" customHeight="1" s="140">
      <c r="F23" s="138" t="n"/>
      <c r="G23" s="138" t="n"/>
      <c r="H23" s="138" t="n"/>
      <c r="I23" s="138" t="n"/>
      <c r="J23" s="138" t="n"/>
      <c r="K23" s="138">
        <f t="array" ref="K23">IF(OR($H23="",$I23=""),"",INDEX(PARAMETROS!$C$6:$E$8,MATCH($H23,PARAMETROS!$B$6:$B$8,0),MATCH($I23,PARAMETROS!$C$5:$E$5,0)))</f>
        <v/>
      </c>
      <c r="S23" s="138" t="n"/>
      <c r="T23" s="138" t="n"/>
      <c r="V23" s="139" t="n"/>
      <c r="W23" s="4" t="n"/>
      <c r="X23" s="4" t="n"/>
      <c r="Y23" s="4" t="n"/>
      <c r="Z23" s="4" t="n"/>
      <c r="AA23" s="4" t="n"/>
      <c r="AB23" s="4" t="n"/>
      <c r="AC23" s="4" t="n"/>
      <c r="AD23" s="4" t="n"/>
      <c r="AF23" s="138">
        <f t="array" ref="AF23">IF(OR($Z23="",$K23=""),"",IF($Z23&lt;=INDEX(PARAMETROS!$E$25:$E$28,MATCH($K23,PARAMETROS!$A$25:$A$28,0)),"Sí","No"))</f>
        <v/>
      </c>
      <c r="AJ23" s="138" t="n"/>
    </row>
    <row r="24" ht="14.25" customHeight="1" s="140">
      <c r="F24" s="138" t="n"/>
      <c r="G24" s="138" t="n"/>
      <c r="H24" s="138" t="n"/>
      <c r="I24" s="138" t="n"/>
      <c r="J24" s="138" t="n"/>
      <c r="K24" s="138">
        <f t="array" ref="K24">IF(OR($H24="",$I24=""),"",INDEX(PARAMETROS!$C$6:$E$8,MATCH($H24,PARAMETROS!$B$6:$B$8,0),MATCH($I24,PARAMETROS!$C$5:$E$5,0)))</f>
        <v/>
      </c>
      <c r="S24" s="138" t="n"/>
      <c r="T24" s="138" t="n"/>
      <c r="V24" s="139" t="n"/>
      <c r="W24" s="4" t="n"/>
      <c r="X24" s="4" t="n"/>
      <c r="Y24" s="4" t="n"/>
      <c r="Z24" s="4" t="n"/>
      <c r="AA24" s="4" t="n"/>
      <c r="AB24" s="4" t="n"/>
      <c r="AC24" s="4" t="n"/>
      <c r="AD24" s="4" t="n"/>
      <c r="AF24" s="138">
        <f t="array" ref="AF24">IF(OR($Z24="",$K24=""),"",IF($Z24&lt;=INDEX(PARAMETROS!$E$25:$E$28,MATCH($K24,PARAMETROS!$A$25:$A$28,0)),"Sí","No"))</f>
        <v/>
      </c>
      <c r="AJ24" s="138" t="n"/>
    </row>
    <row r="25" ht="14.25" customHeight="1" s="140"/>
    <row r="26" ht="14.25" customHeight="1" s="140"/>
    <row r="27" ht="14.25" customHeight="1" s="140"/>
    <row r="28" ht="14.25" customHeight="1" s="140"/>
    <row r="29" ht="14.25" customHeight="1" s="140"/>
    <row r="30" ht="14.25" customHeight="1" s="140"/>
    <row r="31" ht="14.25" customHeight="1" s="140"/>
    <row r="32" ht="14.25" customHeight="1" s="140"/>
    <row r="33" ht="14.25" customHeight="1" s="140"/>
    <row r="34" ht="14.25" customHeight="1" s="140"/>
    <row r="35" ht="14.25" customHeight="1" s="140"/>
    <row r="36" ht="14.25" customHeight="1" s="140"/>
    <row r="37" ht="14.25" customHeight="1" s="140"/>
    <row r="38" ht="14.25" customHeight="1" s="140"/>
    <row r="39" ht="14.25" customHeight="1" s="140"/>
    <row r="40" ht="14.25" customHeight="1" s="140"/>
    <row r="41" ht="14.25" customHeight="1" s="140"/>
    <row r="42" ht="14.25" customHeight="1" s="140"/>
    <row r="43" ht="14.25" customHeight="1" s="140"/>
    <row r="44" ht="14.25" customHeight="1" s="140"/>
    <row r="45" ht="14.25" customHeight="1" s="140"/>
    <row r="46" ht="14.25" customHeight="1" s="140"/>
    <row r="47" ht="14.25" customHeight="1" s="140"/>
    <row r="48" ht="14.25" customHeight="1" s="140"/>
    <row r="49" ht="14.25" customHeight="1" s="140"/>
    <row r="50" ht="14.25" customHeight="1" s="140"/>
    <row r="51" ht="14.25" customHeight="1" s="140"/>
    <row r="52" ht="14.25" customHeight="1" s="140"/>
    <row r="53" ht="14.25" customHeight="1" s="140"/>
    <row r="54" ht="14.25" customHeight="1" s="140"/>
    <row r="55" ht="14.25" customHeight="1" s="140"/>
    <row r="56" ht="14.25" customHeight="1" s="140"/>
    <row r="57" ht="14.25" customHeight="1" s="140"/>
    <row r="58" ht="14.25" customHeight="1" s="140"/>
    <row r="59" ht="14.25" customHeight="1" s="140"/>
    <row r="60" ht="14.25" customHeight="1" s="140"/>
    <row r="61" ht="14.25" customHeight="1" s="140"/>
    <row r="62" ht="14.25" customHeight="1" s="140"/>
    <row r="63" ht="14.25" customHeight="1" s="140"/>
    <row r="64" ht="14.25" customHeight="1" s="140"/>
    <row r="65" ht="14.25" customHeight="1" s="140"/>
    <row r="66" ht="14.25" customHeight="1" s="140"/>
    <row r="67" ht="14.25" customHeight="1" s="140"/>
    <row r="68" ht="14.25" customHeight="1" s="140"/>
    <row r="69" ht="14.25" customHeight="1" s="140"/>
    <row r="70" ht="14.25" customHeight="1" s="140"/>
    <row r="71" ht="14.25" customHeight="1" s="140"/>
    <row r="72" ht="14.25" customHeight="1" s="140"/>
    <row r="73" ht="14.25" customHeight="1" s="140"/>
    <row r="74" ht="14.25" customHeight="1" s="140"/>
    <row r="75" ht="14.25" customHeight="1" s="140"/>
    <row r="76" ht="14.25" customHeight="1" s="140"/>
    <row r="77" ht="14.25" customHeight="1" s="140"/>
    <row r="78" ht="14.25" customHeight="1" s="140"/>
    <row r="79" ht="14.25" customHeight="1" s="140"/>
    <row r="80" ht="14.25" customHeight="1" s="140"/>
    <row r="81" ht="14.25" customHeight="1" s="140"/>
    <row r="82" ht="14.25" customHeight="1" s="140"/>
    <row r="83" ht="14.25" customHeight="1" s="140"/>
    <row r="84" ht="14.25" customHeight="1" s="140"/>
    <row r="85" ht="14.25" customHeight="1" s="140"/>
    <row r="86" ht="14.25" customHeight="1" s="140"/>
    <row r="87" ht="14.25" customHeight="1" s="140"/>
    <row r="88" ht="14.25" customHeight="1" s="140"/>
    <row r="89" ht="14.25" customHeight="1" s="140"/>
    <row r="90" ht="14.25" customHeight="1" s="140"/>
    <row r="91" ht="14.25" customHeight="1" s="140"/>
    <row r="92" ht="14.25" customHeight="1" s="140"/>
    <row r="93" ht="14.25" customHeight="1" s="140"/>
    <row r="94" ht="14.25" customHeight="1" s="140"/>
    <row r="95" ht="14.25" customHeight="1" s="140"/>
    <row r="96" ht="14.25" customHeight="1" s="140"/>
    <row r="97" ht="14.25" customHeight="1" s="140"/>
    <row r="98" ht="14.25" customHeight="1" s="140"/>
    <row r="99" ht="14.25" customHeight="1" s="140"/>
    <row r="100" ht="14.25" customHeight="1" s="140"/>
    <row r="101" ht="14.25" customHeight="1" s="140"/>
    <row r="102" ht="14.25" customHeight="1" s="140"/>
    <row r="103" ht="14.25" customHeight="1" s="140"/>
    <row r="104" ht="14.25" customHeight="1" s="140"/>
    <row r="105" ht="14.25" customHeight="1" s="140"/>
    <row r="106" ht="14.25" customHeight="1" s="140"/>
    <row r="107" ht="14.25" customHeight="1" s="140"/>
    <row r="108" ht="14.25" customHeight="1" s="140"/>
    <row r="109" ht="14.25" customHeight="1" s="140"/>
    <row r="110" ht="14.25" customHeight="1" s="140"/>
    <row r="111" ht="14.25" customHeight="1" s="140"/>
    <row r="112" ht="14.25" customHeight="1" s="140"/>
    <row r="113" ht="14.25" customHeight="1" s="140"/>
    <row r="114" ht="14.25" customHeight="1" s="140"/>
    <row r="115" ht="14.25" customHeight="1" s="140"/>
    <row r="116" ht="14.25" customHeight="1" s="140"/>
    <row r="117" ht="14.25" customHeight="1" s="140"/>
    <row r="118" ht="14.25" customHeight="1" s="140"/>
    <row r="119" ht="14.25" customHeight="1" s="140"/>
    <row r="120" ht="14.25" customHeight="1" s="140"/>
    <row r="121" ht="14.25" customHeight="1" s="140"/>
    <row r="122" ht="14.25" customHeight="1" s="140"/>
    <row r="123" ht="14.25" customHeight="1" s="140"/>
    <row r="124" ht="14.25" customHeight="1" s="140"/>
    <row r="125" ht="14.25" customHeight="1" s="140"/>
    <row r="126" ht="14.25" customHeight="1" s="140"/>
    <row r="127" ht="14.25" customHeight="1" s="140"/>
    <row r="128" ht="14.25" customHeight="1" s="140"/>
    <row r="129" ht="14.25" customHeight="1" s="140"/>
    <row r="130" ht="14.25" customHeight="1" s="140"/>
    <row r="131" ht="14.25" customHeight="1" s="140"/>
    <row r="132" ht="14.25" customHeight="1" s="140"/>
    <row r="133" ht="14.25" customHeight="1" s="140"/>
    <row r="134" ht="14.25" customHeight="1" s="140"/>
    <row r="135" ht="14.25" customHeight="1" s="140"/>
    <row r="136" ht="14.25" customHeight="1" s="140"/>
    <row r="137" ht="14.25" customHeight="1" s="140"/>
    <row r="138" ht="14.25" customHeight="1" s="140"/>
    <row r="139" ht="14.25" customHeight="1" s="140"/>
    <row r="140" ht="14.25" customHeight="1" s="140"/>
    <row r="141" ht="14.25" customHeight="1" s="140"/>
    <row r="142" ht="14.25" customHeight="1" s="140"/>
    <row r="143" ht="14.25" customHeight="1" s="140"/>
    <row r="144" ht="14.25" customHeight="1" s="140"/>
    <row r="145" ht="14.25" customHeight="1" s="140"/>
    <row r="146" ht="14.25" customHeight="1" s="140"/>
    <row r="147" ht="14.25" customHeight="1" s="140"/>
    <row r="148" ht="14.25" customHeight="1" s="140"/>
    <row r="149" ht="14.25" customHeight="1" s="140"/>
    <row r="150" ht="14.25" customHeight="1" s="140"/>
    <row r="151" ht="14.25" customHeight="1" s="140"/>
    <row r="152" ht="14.25" customHeight="1" s="140"/>
    <row r="153" ht="14.25" customHeight="1" s="140"/>
    <row r="154" ht="14.25" customHeight="1" s="140"/>
    <row r="155" ht="14.25" customHeight="1" s="140"/>
    <row r="156" ht="14.25" customHeight="1" s="140"/>
    <row r="157" ht="14.25" customHeight="1" s="140"/>
    <row r="158" ht="14.25" customHeight="1" s="140"/>
    <row r="159" ht="14.25" customHeight="1" s="140"/>
    <row r="160" ht="14.25" customHeight="1" s="140"/>
    <row r="161" ht="14.25" customHeight="1" s="140"/>
    <row r="162" ht="14.25" customHeight="1" s="140"/>
    <row r="163" ht="14.25" customHeight="1" s="140"/>
    <row r="164" ht="14.25" customHeight="1" s="140"/>
    <row r="165" ht="14.25" customHeight="1" s="140"/>
    <row r="166" ht="14.25" customHeight="1" s="140"/>
    <row r="167" ht="14.25" customHeight="1" s="140"/>
    <row r="168" ht="14.25" customHeight="1" s="140"/>
    <row r="169" ht="14.25" customHeight="1" s="140"/>
    <row r="170" ht="14.25" customHeight="1" s="140"/>
    <row r="171" ht="14.25" customHeight="1" s="140"/>
    <row r="172" ht="14.25" customHeight="1" s="140"/>
    <row r="173" ht="14.25" customHeight="1" s="140"/>
    <row r="174" ht="14.25" customHeight="1" s="140"/>
    <row r="175" ht="14.25" customHeight="1" s="140"/>
    <row r="176" ht="14.25" customHeight="1" s="140"/>
    <row r="177" ht="14.25" customHeight="1" s="140"/>
    <row r="178" ht="14.25" customHeight="1" s="140"/>
    <row r="179" ht="14.25" customHeight="1" s="140"/>
    <row r="180" ht="14.25" customHeight="1" s="140"/>
    <row r="181" ht="14.25" customHeight="1" s="140"/>
    <row r="182" ht="14.25" customHeight="1" s="140"/>
    <row r="183" ht="14.25" customHeight="1" s="140"/>
    <row r="184" ht="14.25" customHeight="1" s="140"/>
    <row r="185" ht="14.25" customHeight="1" s="140"/>
    <row r="186" ht="14.25" customHeight="1" s="140"/>
    <row r="187" ht="14.25" customHeight="1" s="140"/>
    <row r="188" ht="14.25" customHeight="1" s="140"/>
    <row r="189" ht="14.25" customHeight="1" s="140"/>
    <row r="190" ht="14.25" customHeight="1" s="140"/>
    <row r="191" ht="14.25" customHeight="1" s="140"/>
    <row r="192" ht="14.25" customHeight="1" s="140"/>
    <row r="193" ht="14.25" customHeight="1" s="140"/>
    <row r="194" ht="14.25" customHeight="1" s="140"/>
    <row r="195" ht="14.25" customHeight="1" s="140"/>
    <row r="196" ht="14.25" customHeight="1" s="140"/>
    <row r="197" ht="14.25" customHeight="1" s="140"/>
    <row r="198" ht="14.25" customHeight="1" s="140"/>
    <row r="199" ht="14.25" customHeight="1" s="140"/>
    <row r="200" ht="14.25" customHeight="1" s="140"/>
    <row r="201" ht="14.25" customHeight="1" s="140"/>
    <row r="202" ht="14.25" customHeight="1" s="140"/>
    <row r="203" ht="14.25" customHeight="1" s="140"/>
    <row r="204" ht="14.25" customHeight="1" s="140"/>
    <row r="205" ht="14.25" customHeight="1" s="140"/>
    <row r="206" ht="14.25" customHeight="1" s="140"/>
    <row r="207" ht="14.25" customHeight="1" s="140"/>
    <row r="208" ht="14.25" customHeight="1" s="140"/>
    <row r="209" ht="14.25" customHeight="1" s="140"/>
    <row r="210" ht="14.25" customHeight="1" s="140"/>
    <row r="211" ht="14.25" customHeight="1" s="140"/>
    <row r="212" ht="14.25" customHeight="1" s="140"/>
    <row r="213" ht="14.25" customHeight="1" s="140"/>
    <row r="214" ht="14.25" customHeight="1" s="140"/>
    <row r="215" ht="14.25" customHeight="1" s="140"/>
    <row r="216" ht="14.25" customHeight="1" s="140"/>
    <row r="217" ht="14.25" customHeight="1" s="140"/>
    <row r="218" ht="14.25" customHeight="1" s="140"/>
    <row r="219" ht="14.25" customHeight="1" s="140"/>
    <row r="220" ht="14.25" customHeight="1" s="140"/>
    <row r="221" ht="14.25" customHeight="1" s="140"/>
    <row r="222" ht="14.25" customHeight="1" s="140"/>
    <row r="223" ht="14.25" customHeight="1" s="140"/>
    <row r="224" ht="14.25" customHeight="1" s="140"/>
    <row r="225" ht="14.25" customHeight="1" s="140"/>
    <row r="226" ht="14.25" customHeight="1" s="140"/>
    <row r="227" ht="14.25" customHeight="1" s="140"/>
    <row r="228" ht="14.25" customHeight="1" s="140"/>
    <row r="229" ht="14.25" customHeight="1" s="140"/>
    <row r="230" ht="14.25" customHeight="1" s="140"/>
    <row r="231" ht="14.25" customHeight="1" s="140"/>
    <row r="232" ht="14.25" customHeight="1" s="140"/>
    <row r="233" ht="14.25" customHeight="1" s="140"/>
    <row r="234" ht="14.25" customHeight="1" s="140"/>
    <row r="235" ht="14.25" customHeight="1" s="140"/>
    <row r="236" ht="14.25" customHeight="1" s="140"/>
    <row r="237" ht="14.25" customHeight="1" s="140"/>
    <row r="238" ht="14.25" customHeight="1" s="140"/>
    <row r="239" ht="14.25" customHeight="1" s="140"/>
    <row r="240" ht="14.25" customHeight="1" s="140"/>
    <row r="241" ht="14.25" customHeight="1" s="140"/>
    <row r="242" ht="14.25" customHeight="1" s="140"/>
    <row r="243" ht="14.25" customHeight="1" s="140"/>
    <row r="244" ht="14.25" customHeight="1" s="140"/>
    <row r="245" ht="14.25" customHeight="1" s="140"/>
    <row r="246" ht="14.25" customHeight="1" s="140"/>
    <row r="247" ht="14.25" customHeight="1" s="140"/>
    <row r="248" ht="14.25" customHeight="1" s="140"/>
    <row r="249" ht="14.25" customHeight="1" s="140"/>
    <row r="250" ht="14.25" customHeight="1" s="140"/>
    <row r="251" ht="14.25" customHeight="1" s="140"/>
    <row r="252" ht="14.25" customHeight="1" s="140"/>
    <row r="253" ht="14.25" customHeight="1" s="140"/>
    <row r="254" ht="14.25" customHeight="1" s="140"/>
    <row r="255" ht="14.25" customHeight="1" s="140"/>
    <row r="256" ht="14.25" customHeight="1" s="140"/>
    <row r="257" ht="14.25" customHeight="1" s="140"/>
    <row r="258" ht="14.25" customHeight="1" s="140"/>
    <row r="259" ht="14.25" customHeight="1" s="140"/>
    <row r="260" ht="14.25" customHeight="1" s="140"/>
    <row r="261" ht="14.25" customHeight="1" s="140"/>
    <row r="262" ht="14.25" customHeight="1" s="140"/>
    <row r="263" ht="14.25" customHeight="1" s="140"/>
    <row r="264" ht="14.25" customHeight="1" s="140"/>
    <row r="265" ht="14.25" customHeight="1" s="140"/>
    <row r="266" ht="14.25" customHeight="1" s="140"/>
    <row r="267" ht="14.25" customHeight="1" s="140"/>
    <row r="268" ht="14.25" customHeight="1" s="140"/>
    <row r="269" ht="14.25" customHeight="1" s="140"/>
    <row r="270" ht="14.25" customHeight="1" s="140"/>
    <row r="271" ht="14.25" customHeight="1" s="140"/>
    <row r="272" ht="14.25" customHeight="1" s="140"/>
    <row r="273" ht="14.25" customHeight="1" s="140"/>
    <row r="274" ht="14.25" customHeight="1" s="140"/>
    <row r="275" ht="14.25" customHeight="1" s="140"/>
    <row r="276" ht="14.25" customHeight="1" s="140"/>
    <row r="277" ht="14.25" customHeight="1" s="140"/>
    <row r="278" ht="14.25" customHeight="1" s="140"/>
    <row r="279" ht="14.25" customHeight="1" s="140"/>
    <row r="280" ht="14.25" customHeight="1" s="140"/>
    <row r="281" ht="14.25" customHeight="1" s="140"/>
    <row r="282" ht="14.25" customHeight="1" s="140"/>
    <row r="283" ht="14.25" customHeight="1" s="140"/>
    <row r="284" ht="14.25" customHeight="1" s="140"/>
    <row r="285" ht="14.25" customHeight="1" s="140"/>
    <row r="286" ht="14.25" customHeight="1" s="140"/>
    <row r="287" ht="14.25" customHeight="1" s="140"/>
    <row r="288" ht="14.25" customHeight="1" s="140"/>
    <row r="289" ht="14.25" customHeight="1" s="140"/>
    <row r="290" ht="14.25" customHeight="1" s="140"/>
    <row r="291" ht="14.25" customHeight="1" s="140"/>
    <row r="292" ht="14.25" customHeight="1" s="140"/>
    <row r="293" ht="14.25" customHeight="1" s="140"/>
    <row r="294" ht="14.25" customHeight="1" s="140"/>
    <row r="295" ht="14.25" customHeight="1" s="140"/>
    <row r="296" ht="14.25" customHeight="1" s="140"/>
    <row r="297" ht="14.25" customHeight="1" s="140"/>
    <row r="298" ht="14.25" customHeight="1" s="140"/>
    <row r="299" ht="14.25" customHeight="1" s="140"/>
    <row r="300" ht="14.25" customHeight="1" s="140"/>
    <row r="301" ht="14.25" customHeight="1" s="140"/>
    <row r="302" ht="14.25" customHeight="1" s="140"/>
    <row r="303" ht="14.25" customHeight="1" s="140"/>
    <row r="304" ht="14.25" customHeight="1" s="140"/>
    <row r="305" ht="14.25" customHeight="1" s="140"/>
    <row r="306" ht="14.25" customHeight="1" s="140"/>
    <row r="307" ht="14.25" customHeight="1" s="140"/>
    <row r="308" ht="14.25" customHeight="1" s="140"/>
    <row r="309" ht="14.25" customHeight="1" s="140"/>
    <row r="310" ht="14.25" customHeight="1" s="140"/>
    <row r="311" ht="14.25" customHeight="1" s="140"/>
    <row r="312" ht="14.25" customHeight="1" s="140"/>
    <row r="313" ht="14.25" customHeight="1" s="140"/>
    <row r="314" ht="14.25" customHeight="1" s="140"/>
    <row r="315" ht="14.25" customHeight="1" s="140"/>
    <row r="316" ht="14.25" customHeight="1" s="140"/>
    <row r="317" ht="14.25" customHeight="1" s="140"/>
    <row r="318" ht="14.25" customHeight="1" s="140"/>
    <row r="319" ht="14.25" customHeight="1" s="140"/>
    <row r="320" ht="14.25" customHeight="1" s="140"/>
    <row r="321" ht="14.25" customHeight="1" s="140"/>
    <row r="322" ht="14.25" customHeight="1" s="140"/>
    <row r="323" ht="14.25" customHeight="1" s="140"/>
    <row r="324" ht="14.25" customHeight="1" s="140"/>
    <row r="325" ht="14.25" customHeight="1" s="140"/>
    <row r="326" ht="14.25" customHeight="1" s="140"/>
    <row r="327" ht="14.25" customHeight="1" s="140"/>
    <row r="328" ht="14.25" customHeight="1" s="140"/>
    <row r="329" ht="14.25" customHeight="1" s="140"/>
    <row r="330" ht="14.25" customHeight="1" s="140"/>
    <row r="331" ht="14.25" customHeight="1" s="140"/>
    <row r="332" ht="14.25" customHeight="1" s="140"/>
    <row r="333" ht="14.25" customHeight="1" s="140"/>
    <row r="334" ht="14.25" customHeight="1" s="140"/>
    <row r="335" ht="14.25" customHeight="1" s="140"/>
    <row r="336" ht="14.25" customHeight="1" s="140"/>
    <row r="337" ht="14.25" customHeight="1" s="140"/>
    <row r="338" ht="14.25" customHeight="1" s="140"/>
    <row r="339" ht="14.25" customHeight="1" s="140"/>
    <row r="340" ht="14.25" customHeight="1" s="140"/>
    <row r="341" ht="14.25" customHeight="1" s="140"/>
    <row r="342" ht="14.25" customHeight="1" s="140"/>
    <row r="343" ht="14.25" customHeight="1" s="140"/>
    <row r="344" ht="14.25" customHeight="1" s="140"/>
    <row r="345" ht="14.25" customHeight="1" s="140"/>
    <row r="346" ht="14.25" customHeight="1" s="140"/>
    <row r="347" ht="14.25" customHeight="1" s="140"/>
    <row r="348" ht="14.25" customHeight="1" s="140"/>
    <row r="349" ht="14.25" customHeight="1" s="140"/>
    <row r="350" ht="14.25" customHeight="1" s="140"/>
    <row r="351" ht="14.25" customHeight="1" s="140"/>
    <row r="352" ht="14.25" customHeight="1" s="140"/>
    <row r="353" ht="14.25" customHeight="1" s="140"/>
    <row r="354" ht="14.25" customHeight="1" s="140"/>
    <row r="355" ht="14.25" customHeight="1" s="140"/>
    <row r="356" ht="14.25" customHeight="1" s="140"/>
    <row r="357" ht="14.25" customHeight="1" s="140"/>
    <row r="358" ht="14.25" customHeight="1" s="140"/>
    <row r="359" ht="14.25" customHeight="1" s="140"/>
    <row r="360" ht="14.25" customHeight="1" s="140"/>
    <row r="361" ht="14.25" customHeight="1" s="140"/>
    <row r="362" ht="14.25" customHeight="1" s="140"/>
    <row r="363" ht="14.25" customHeight="1" s="140"/>
    <row r="364" ht="14.25" customHeight="1" s="140"/>
    <row r="365" ht="14.25" customHeight="1" s="140"/>
    <row r="366" ht="14.25" customHeight="1" s="140"/>
    <row r="367" ht="14.25" customHeight="1" s="140"/>
    <row r="368" ht="14.25" customHeight="1" s="140"/>
    <row r="369" ht="14.25" customHeight="1" s="140"/>
    <row r="370" ht="14.25" customHeight="1" s="140"/>
    <row r="371" ht="14.25" customHeight="1" s="140"/>
    <row r="372" ht="14.25" customHeight="1" s="140"/>
    <row r="373" ht="14.25" customHeight="1" s="140"/>
    <row r="374" ht="14.25" customHeight="1" s="140"/>
    <row r="375" ht="14.25" customHeight="1" s="140"/>
    <row r="376" ht="14.25" customHeight="1" s="140"/>
    <row r="377" ht="14.25" customHeight="1" s="140"/>
    <row r="378" ht="14.25" customHeight="1" s="140"/>
    <row r="379" ht="14.25" customHeight="1" s="140"/>
    <row r="380" ht="14.25" customHeight="1" s="140"/>
    <row r="381" ht="14.25" customHeight="1" s="140"/>
    <row r="382" ht="14.25" customHeight="1" s="140"/>
    <row r="383" ht="14.25" customHeight="1" s="140"/>
    <row r="384" ht="14.25" customHeight="1" s="140"/>
    <row r="385" ht="14.25" customHeight="1" s="140"/>
    <row r="386" ht="14.25" customHeight="1" s="140"/>
    <row r="387" ht="14.25" customHeight="1" s="140"/>
    <row r="388" ht="14.25" customHeight="1" s="140"/>
    <row r="389" ht="14.25" customHeight="1" s="140"/>
    <row r="390" ht="14.25" customHeight="1" s="140"/>
    <row r="391" ht="14.25" customHeight="1" s="140"/>
    <row r="392" ht="14.25" customHeight="1" s="140"/>
    <row r="393" ht="14.25" customHeight="1" s="140"/>
    <row r="394" ht="14.25" customHeight="1" s="140"/>
    <row r="395" ht="14.25" customHeight="1" s="140"/>
    <row r="396" ht="14.25" customHeight="1" s="140"/>
    <row r="397" ht="14.25" customHeight="1" s="140"/>
    <row r="398" ht="14.25" customHeight="1" s="140"/>
    <row r="399" ht="14.25" customHeight="1" s="140"/>
    <row r="400" ht="14.25" customHeight="1" s="140"/>
    <row r="401" ht="14.25" customHeight="1" s="140"/>
    <row r="402" ht="14.25" customHeight="1" s="140"/>
    <row r="403" ht="14.25" customHeight="1" s="140"/>
    <row r="404" ht="14.25" customHeight="1" s="140"/>
    <row r="405" ht="14.25" customHeight="1" s="140"/>
    <row r="406" ht="14.25" customHeight="1" s="140"/>
    <row r="407" ht="14.25" customHeight="1" s="140"/>
    <row r="408" ht="14.25" customHeight="1" s="140"/>
    <row r="409" ht="14.25" customHeight="1" s="140"/>
    <row r="410" ht="14.25" customHeight="1" s="140"/>
    <row r="411" ht="14.25" customHeight="1" s="140"/>
    <row r="412" ht="14.25" customHeight="1" s="140"/>
    <row r="413" ht="14.25" customHeight="1" s="140"/>
    <row r="414" ht="14.25" customHeight="1" s="140"/>
    <row r="415" ht="14.25" customHeight="1" s="140"/>
    <row r="416" ht="14.25" customHeight="1" s="140"/>
    <row r="417" ht="14.25" customHeight="1" s="140"/>
    <row r="418" ht="14.25" customHeight="1" s="140"/>
    <row r="419" ht="14.25" customHeight="1" s="140"/>
    <row r="420" ht="14.25" customHeight="1" s="140"/>
    <row r="421" ht="14.25" customHeight="1" s="140"/>
    <row r="422" ht="14.25" customHeight="1" s="140"/>
    <row r="423" ht="14.25" customHeight="1" s="140"/>
    <row r="424" ht="14.25" customHeight="1" s="140"/>
    <row r="425" ht="14.25" customHeight="1" s="140"/>
    <row r="426" ht="14.25" customHeight="1" s="140"/>
    <row r="427" ht="14.25" customHeight="1" s="140"/>
    <row r="428" ht="14.25" customHeight="1" s="140"/>
    <row r="429" ht="14.25" customHeight="1" s="140"/>
    <row r="430" ht="14.25" customHeight="1" s="140"/>
    <row r="431" ht="14.25" customHeight="1" s="140"/>
    <row r="432" ht="14.25" customHeight="1" s="140"/>
    <row r="433" ht="14.25" customHeight="1" s="140"/>
    <row r="434" ht="14.25" customHeight="1" s="140"/>
    <row r="435" ht="14.25" customHeight="1" s="140"/>
    <row r="436" ht="14.25" customHeight="1" s="140"/>
    <row r="437" ht="14.25" customHeight="1" s="140"/>
    <row r="438" ht="14.25" customHeight="1" s="140"/>
    <row r="439" ht="14.25" customHeight="1" s="140"/>
    <row r="440" ht="14.25" customHeight="1" s="140"/>
    <row r="441" ht="14.25" customHeight="1" s="140"/>
    <row r="442" ht="14.25" customHeight="1" s="140"/>
    <row r="443" ht="14.25" customHeight="1" s="140"/>
    <row r="444" ht="14.25" customHeight="1" s="140"/>
    <row r="445" ht="14.25" customHeight="1" s="140"/>
    <row r="446" ht="14.25" customHeight="1" s="140"/>
    <row r="447" ht="14.25" customHeight="1" s="140"/>
    <row r="448" ht="14.25" customHeight="1" s="140"/>
    <row r="449" ht="14.25" customHeight="1" s="140"/>
    <row r="450" ht="14.25" customHeight="1" s="140"/>
    <row r="451" ht="14.25" customHeight="1" s="140"/>
    <row r="452" ht="14.25" customHeight="1" s="140"/>
    <row r="453" ht="14.25" customHeight="1" s="140"/>
    <row r="454" ht="14.25" customHeight="1" s="140"/>
    <row r="455" ht="14.25" customHeight="1" s="140"/>
    <row r="456" ht="14.25" customHeight="1" s="140"/>
    <row r="457" ht="14.25" customHeight="1" s="140"/>
    <row r="458" ht="14.25" customHeight="1" s="140"/>
    <row r="459" ht="14.25" customHeight="1" s="140"/>
    <row r="460" ht="14.25" customHeight="1" s="140"/>
    <row r="461" ht="14.25" customHeight="1" s="140"/>
    <row r="462" ht="14.25" customHeight="1" s="140"/>
    <row r="463" ht="14.25" customHeight="1" s="140"/>
    <row r="464" ht="14.25" customHeight="1" s="140"/>
    <row r="465" ht="14.25" customHeight="1" s="140"/>
    <row r="466" ht="14.25" customHeight="1" s="140"/>
    <row r="467" ht="14.25" customHeight="1" s="140"/>
    <row r="468" ht="14.25" customHeight="1" s="140"/>
    <row r="469" ht="14.25" customHeight="1" s="140"/>
    <row r="470" ht="14.25" customHeight="1" s="140"/>
    <row r="471" ht="14.25" customHeight="1" s="140"/>
    <row r="472" ht="14.25" customHeight="1" s="140"/>
    <row r="473" ht="14.25" customHeight="1" s="140"/>
    <row r="474" ht="14.25" customHeight="1" s="140"/>
    <row r="475" ht="14.25" customHeight="1" s="140"/>
    <row r="476" ht="14.25" customHeight="1" s="140"/>
    <row r="477" ht="14.25" customHeight="1" s="140"/>
    <row r="478" ht="14.25" customHeight="1" s="140"/>
    <row r="479" ht="14.25" customHeight="1" s="140"/>
    <row r="480" ht="14.25" customHeight="1" s="140"/>
    <row r="481" ht="14.25" customHeight="1" s="140"/>
    <row r="482" ht="14.25" customHeight="1" s="140"/>
    <row r="483" ht="14.25" customHeight="1" s="140"/>
    <row r="484" ht="14.25" customHeight="1" s="140"/>
    <row r="485" ht="14.25" customHeight="1" s="140"/>
    <row r="486" ht="14.25" customHeight="1" s="140"/>
    <row r="487" ht="14.25" customHeight="1" s="140"/>
    <row r="488" ht="14.25" customHeight="1" s="140"/>
    <row r="489" ht="14.25" customHeight="1" s="140"/>
    <row r="490" ht="14.25" customHeight="1" s="140"/>
    <row r="491" ht="14.25" customHeight="1" s="140"/>
    <row r="492" ht="14.25" customHeight="1" s="140"/>
    <row r="493" ht="14.25" customHeight="1" s="140"/>
    <row r="494" ht="14.25" customHeight="1" s="140"/>
    <row r="495" ht="14.25" customHeight="1" s="140"/>
    <row r="496" ht="14.25" customHeight="1" s="140"/>
    <row r="497" ht="14.25" customHeight="1" s="140"/>
    <row r="498" ht="14.25" customHeight="1" s="140"/>
    <row r="499" ht="14.25" customHeight="1" s="140"/>
    <row r="500" ht="14.25" customHeight="1" s="140"/>
    <row r="501" ht="14.25" customHeight="1" s="140"/>
    <row r="502" ht="14.25" customHeight="1" s="140"/>
    <row r="503" ht="14.25" customHeight="1" s="140"/>
    <row r="504" ht="14.25" customHeight="1" s="140"/>
    <row r="505" ht="14.25" customHeight="1" s="140"/>
    <row r="506" ht="14.25" customHeight="1" s="140"/>
    <row r="507" ht="14.25" customHeight="1" s="140"/>
    <row r="508" ht="14.25" customHeight="1" s="140"/>
    <row r="509" ht="14.25" customHeight="1" s="140"/>
    <row r="510" ht="14.25" customHeight="1" s="140"/>
    <row r="511" ht="14.25" customHeight="1" s="140"/>
    <row r="512" ht="14.25" customHeight="1" s="140"/>
    <row r="513" ht="14.25" customHeight="1" s="140"/>
    <row r="514" ht="14.25" customHeight="1" s="140"/>
    <row r="515" ht="14.25" customHeight="1" s="140"/>
    <row r="516" ht="14.25" customHeight="1" s="140"/>
    <row r="517" ht="14.25" customHeight="1" s="140"/>
    <row r="518" ht="14.25" customHeight="1" s="140"/>
    <row r="519" ht="14.25" customHeight="1" s="140"/>
    <row r="520" ht="14.25" customHeight="1" s="140"/>
    <row r="521" ht="14.25" customHeight="1" s="140"/>
    <row r="522" ht="14.25" customHeight="1" s="140"/>
    <row r="523" ht="14.25" customHeight="1" s="140"/>
    <row r="524" ht="14.25" customHeight="1" s="140"/>
    <row r="525" ht="14.25" customHeight="1" s="140"/>
    <row r="526" ht="14.25" customHeight="1" s="140"/>
    <row r="527" ht="14.25" customHeight="1" s="140"/>
    <row r="528" ht="14.25" customHeight="1" s="140"/>
    <row r="529" ht="14.25" customHeight="1" s="140"/>
    <row r="530" ht="14.25" customHeight="1" s="140"/>
    <row r="531" ht="14.25" customHeight="1" s="140"/>
    <row r="532" ht="14.25" customHeight="1" s="140"/>
    <row r="533" ht="14.25" customHeight="1" s="140"/>
    <row r="534" ht="14.25" customHeight="1" s="140"/>
    <row r="535" ht="14.25" customHeight="1" s="140"/>
    <row r="536" ht="14.25" customHeight="1" s="140"/>
    <row r="537" ht="14.25" customHeight="1" s="140"/>
    <row r="538" ht="14.25" customHeight="1" s="140"/>
    <row r="539" ht="14.25" customHeight="1" s="140"/>
    <row r="540" ht="14.25" customHeight="1" s="140"/>
    <row r="541" ht="14.25" customHeight="1" s="140"/>
    <row r="542" ht="14.25" customHeight="1" s="140"/>
    <row r="543" ht="14.25" customHeight="1" s="140"/>
    <row r="544" ht="14.25" customHeight="1" s="140"/>
    <row r="545" ht="14.25" customHeight="1" s="140"/>
    <row r="546" ht="14.25" customHeight="1" s="140"/>
    <row r="547" ht="14.25" customHeight="1" s="140"/>
    <row r="548" ht="14.25" customHeight="1" s="140"/>
    <row r="549" ht="14.25" customHeight="1" s="140"/>
    <row r="550" ht="14.25" customHeight="1" s="140"/>
    <row r="551" ht="14.25" customHeight="1" s="140"/>
    <row r="552" ht="14.25" customHeight="1" s="140"/>
    <row r="553" ht="14.25" customHeight="1" s="140"/>
    <row r="554" ht="14.25" customHeight="1" s="140"/>
    <row r="555" ht="14.25" customHeight="1" s="140"/>
    <row r="556" ht="14.25" customHeight="1" s="140"/>
    <row r="557" ht="14.25" customHeight="1" s="140"/>
    <row r="558" ht="14.25" customHeight="1" s="140"/>
    <row r="559" ht="14.25" customHeight="1" s="140"/>
    <row r="560" ht="14.25" customHeight="1" s="140"/>
    <row r="561" ht="14.25" customHeight="1" s="140"/>
    <row r="562" ht="14.25" customHeight="1" s="140"/>
    <row r="563" ht="14.25" customHeight="1" s="140"/>
    <row r="564" ht="14.25" customHeight="1" s="140"/>
    <row r="565" ht="14.25" customHeight="1" s="140"/>
    <row r="566" ht="14.25" customHeight="1" s="140"/>
    <row r="567" ht="14.25" customHeight="1" s="140"/>
    <row r="568" ht="14.25" customHeight="1" s="140"/>
    <row r="569" ht="14.25" customHeight="1" s="140"/>
    <row r="570" ht="14.25" customHeight="1" s="140"/>
    <row r="571" ht="14.25" customHeight="1" s="140"/>
    <row r="572" ht="14.25" customHeight="1" s="140"/>
    <row r="573" ht="14.25" customHeight="1" s="140"/>
    <row r="574" ht="14.25" customHeight="1" s="140"/>
    <row r="575" ht="14.25" customHeight="1" s="140"/>
    <row r="576" ht="14.25" customHeight="1" s="140"/>
    <row r="577" ht="14.25" customHeight="1" s="140"/>
    <row r="578" ht="14.25" customHeight="1" s="140"/>
    <row r="579" ht="14.25" customHeight="1" s="140"/>
    <row r="580" ht="14.25" customHeight="1" s="140"/>
    <row r="581" ht="14.25" customHeight="1" s="140"/>
    <row r="582" ht="14.25" customHeight="1" s="140"/>
    <row r="583" ht="14.25" customHeight="1" s="140"/>
    <row r="584" ht="14.25" customHeight="1" s="140"/>
    <row r="585" ht="14.25" customHeight="1" s="140"/>
    <row r="586" ht="14.25" customHeight="1" s="140"/>
    <row r="587" ht="14.25" customHeight="1" s="140"/>
    <row r="588" ht="14.25" customHeight="1" s="140"/>
    <row r="589" ht="14.25" customHeight="1" s="140"/>
    <row r="590" ht="14.25" customHeight="1" s="140"/>
    <row r="591" ht="14.25" customHeight="1" s="140"/>
    <row r="592" ht="14.25" customHeight="1" s="140"/>
    <row r="593" ht="14.25" customHeight="1" s="140"/>
    <row r="594" ht="14.25" customHeight="1" s="140"/>
    <row r="595" ht="14.25" customHeight="1" s="140"/>
    <row r="596" ht="14.25" customHeight="1" s="140"/>
    <row r="597" ht="14.25" customHeight="1" s="140"/>
    <row r="598" ht="14.25" customHeight="1" s="140"/>
    <row r="599" ht="14.25" customHeight="1" s="140"/>
    <row r="600" ht="14.25" customHeight="1" s="140"/>
    <row r="601" ht="14.25" customHeight="1" s="140"/>
    <row r="602" ht="14.25" customHeight="1" s="140"/>
    <row r="603" ht="14.25" customHeight="1" s="140"/>
    <row r="604" ht="14.25" customHeight="1" s="140"/>
    <row r="605" ht="14.25" customHeight="1" s="140"/>
    <row r="606" ht="14.25" customHeight="1" s="140"/>
    <row r="607" ht="14.25" customHeight="1" s="140"/>
    <row r="608" ht="14.25" customHeight="1" s="140"/>
    <row r="609" ht="14.25" customHeight="1" s="140"/>
    <row r="610" ht="14.25" customHeight="1" s="140"/>
    <row r="611" ht="14.25" customHeight="1" s="140"/>
    <row r="612" ht="14.25" customHeight="1" s="140"/>
    <row r="613" ht="14.25" customHeight="1" s="140"/>
    <row r="614" ht="14.25" customHeight="1" s="140"/>
    <row r="615" ht="14.25" customHeight="1" s="140"/>
    <row r="616" ht="14.25" customHeight="1" s="140"/>
    <row r="617" ht="14.25" customHeight="1" s="140"/>
    <row r="618" ht="14.25" customHeight="1" s="140"/>
    <row r="619" ht="14.25" customHeight="1" s="140"/>
    <row r="620" ht="14.25" customHeight="1" s="140"/>
    <row r="621" ht="14.25" customHeight="1" s="140"/>
    <row r="622" ht="14.25" customHeight="1" s="140"/>
    <row r="623" ht="14.25" customHeight="1" s="140"/>
    <row r="624" ht="14.25" customHeight="1" s="140"/>
    <row r="625" ht="14.25" customHeight="1" s="140"/>
    <row r="626" ht="14.25" customHeight="1" s="140"/>
    <row r="627" ht="14.25" customHeight="1" s="140"/>
    <row r="628" ht="14.25" customHeight="1" s="140"/>
    <row r="629" ht="14.25" customHeight="1" s="140"/>
    <row r="630" ht="14.25" customHeight="1" s="140"/>
    <row r="631" ht="14.25" customHeight="1" s="140"/>
    <row r="632" ht="14.25" customHeight="1" s="140"/>
    <row r="633" ht="14.25" customHeight="1" s="140"/>
    <row r="634" ht="14.25" customHeight="1" s="140"/>
    <row r="635" ht="14.25" customHeight="1" s="140"/>
    <row r="636" ht="14.25" customHeight="1" s="140"/>
    <row r="637" ht="14.25" customHeight="1" s="140"/>
    <row r="638" ht="14.25" customHeight="1" s="140"/>
    <row r="639" ht="14.25" customHeight="1" s="140"/>
    <row r="640" ht="14.25" customHeight="1" s="140"/>
    <row r="641" ht="14.25" customHeight="1" s="140"/>
    <row r="642" ht="14.25" customHeight="1" s="140"/>
    <row r="643" ht="14.25" customHeight="1" s="140"/>
    <row r="644" ht="14.25" customHeight="1" s="140"/>
    <row r="645" ht="14.25" customHeight="1" s="140"/>
    <row r="646" ht="14.25" customHeight="1" s="140"/>
    <row r="647" ht="14.25" customHeight="1" s="140"/>
    <row r="648" ht="14.25" customHeight="1" s="140"/>
    <row r="649" ht="14.25" customHeight="1" s="140"/>
    <row r="650" ht="14.25" customHeight="1" s="140"/>
    <row r="651" ht="14.25" customHeight="1" s="140"/>
    <row r="652" ht="14.25" customHeight="1" s="140"/>
    <row r="653" ht="14.25" customHeight="1" s="140"/>
    <row r="654" ht="14.25" customHeight="1" s="140"/>
    <row r="655" ht="14.25" customHeight="1" s="140"/>
    <row r="656" ht="14.25" customHeight="1" s="140"/>
    <row r="657" ht="14.25" customHeight="1" s="140"/>
    <row r="658" ht="14.25" customHeight="1" s="140"/>
    <row r="659" ht="14.25" customHeight="1" s="140"/>
    <row r="660" ht="14.25" customHeight="1" s="140"/>
    <row r="661" ht="14.25" customHeight="1" s="140"/>
    <row r="662" ht="14.25" customHeight="1" s="140"/>
    <row r="663" ht="14.25" customHeight="1" s="140"/>
    <row r="664" ht="14.25" customHeight="1" s="140"/>
    <row r="665" ht="14.25" customHeight="1" s="140"/>
    <row r="666" ht="14.25" customHeight="1" s="140"/>
    <row r="667" ht="14.25" customHeight="1" s="140"/>
    <row r="668" ht="14.25" customHeight="1" s="140"/>
    <row r="669" ht="14.25" customHeight="1" s="140"/>
    <row r="670" ht="14.25" customHeight="1" s="140"/>
    <row r="671" ht="14.25" customHeight="1" s="140"/>
    <row r="672" ht="14.25" customHeight="1" s="140"/>
    <row r="673" ht="14.25" customHeight="1" s="140"/>
    <row r="674" ht="14.25" customHeight="1" s="140"/>
    <row r="675" ht="14.25" customHeight="1" s="140"/>
    <row r="676" ht="14.25" customHeight="1" s="140"/>
    <row r="677" ht="14.25" customHeight="1" s="140"/>
    <row r="678" ht="14.25" customHeight="1" s="140"/>
    <row r="679" ht="14.25" customHeight="1" s="140"/>
    <row r="680" ht="14.25" customHeight="1" s="140"/>
    <row r="681" ht="14.25" customHeight="1" s="140"/>
    <row r="682" ht="14.25" customHeight="1" s="140"/>
    <row r="683" ht="14.25" customHeight="1" s="140"/>
    <row r="684" ht="14.25" customHeight="1" s="140"/>
    <row r="685" ht="14.25" customHeight="1" s="140"/>
    <row r="686" ht="14.25" customHeight="1" s="140"/>
    <row r="687" ht="14.25" customHeight="1" s="140"/>
    <row r="688" ht="14.25" customHeight="1" s="140"/>
    <row r="689" ht="14.25" customHeight="1" s="140"/>
    <row r="690" ht="14.25" customHeight="1" s="140"/>
    <row r="691" ht="14.25" customHeight="1" s="140"/>
    <row r="692" ht="14.25" customHeight="1" s="140"/>
    <row r="693" ht="14.25" customHeight="1" s="140"/>
    <row r="694" ht="14.25" customHeight="1" s="140"/>
    <row r="695" ht="14.25" customHeight="1" s="140"/>
    <row r="696" ht="14.25" customHeight="1" s="140"/>
    <row r="697" ht="14.25" customHeight="1" s="140"/>
    <row r="698" ht="14.25" customHeight="1" s="140"/>
    <row r="699" ht="14.25" customHeight="1" s="140"/>
    <row r="700" ht="14.25" customHeight="1" s="140"/>
    <row r="701" ht="14.25" customHeight="1" s="140"/>
    <row r="702" ht="14.25" customHeight="1" s="140"/>
    <row r="703" ht="14.25" customHeight="1" s="140"/>
    <row r="704" ht="14.25" customHeight="1" s="140"/>
    <row r="705" ht="14.25" customHeight="1" s="140"/>
    <row r="706" ht="14.25" customHeight="1" s="140"/>
    <row r="707" ht="14.25" customHeight="1" s="140"/>
    <row r="708" ht="14.25" customHeight="1" s="140"/>
    <row r="709" ht="14.25" customHeight="1" s="140"/>
    <row r="710" ht="14.25" customHeight="1" s="140"/>
    <row r="711" ht="14.25" customHeight="1" s="140"/>
    <row r="712" ht="14.25" customHeight="1" s="140"/>
    <row r="713" ht="14.25" customHeight="1" s="140"/>
    <row r="714" ht="14.25" customHeight="1" s="140"/>
    <row r="715" ht="14.25" customHeight="1" s="140"/>
    <row r="716" ht="14.25" customHeight="1" s="140"/>
    <row r="717" ht="14.25" customHeight="1" s="140"/>
    <row r="718" ht="14.25" customHeight="1" s="140"/>
    <row r="719" ht="14.25" customHeight="1" s="140"/>
    <row r="720" ht="14.25" customHeight="1" s="140"/>
    <row r="721" ht="14.25" customHeight="1" s="140"/>
    <row r="722" ht="14.25" customHeight="1" s="140"/>
    <row r="723" ht="14.25" customHeight="1" s="140"/>
    <row r="724" ht="14.25" customHeight="1" s="140"/>
    <row r="725" ht="14.25" customHeight="1" s="140"/>
    <row r="726" ht="14.25" customHeight="1" s="140"/>
    <row r="727" ht="14.25" customHeight="1" s="140"/>
    <row r="728" ht="14.25" customHeight="1" s="140"/>
    <row r="729" ht="14.25" customHeight="1" s="140"/>
    <row r="730" ht="14.25" customHeight="1" s="140"/>
    <row r="731" ht="14.25" customHeight="1" s="140"/>
    <row r="732" ht="14.25" customHeight="1" s="140"/>
    <row r="733" ht="14.25" customHeight="1" s="140"/>
    <row r="734" ht="14.25" customHeight="1" s="140"/>
    <row r="735" ht="14.25" customHeight="1" s="140"/>
    <row r="736" ht="14.25" customHeight="1" s="140"/>
    <row r="737" ht="14.25" customHeight="1" s="140"/>
    <row r="738" ht="14.25" customHeight="1" s="140"/>
    <row r="739" ht="14.25" customHeight="1" s="140"/>
    <row r="740" ht="14.25" customHeight="1" s="140"/>
    <row r="741" ht="14.25" customHeight="1" s="140"/>
    <row r="742" ht="14.25" customHeight="1" s="140"/>
    <row r="743" ht="14.25" customHeight="1" s="140"/>
    <row r="744" ht="14.25" customHeight="1" s="140"/>
    <row r="745" ht="14.25" customHeight="1" s="140"/>
    <row r="746" ht="14.25" customHeight="1" s="140"/>
    <row r="747" ht="14.25" customHeight="1" s="140"/>
    <row r="748" ht="14.25" customHeight="1" s="140"/>
    <row r="749" ht="14.25" customHeight="1" s="140"/>
    <row r="750" ht="14.25" customHeight="1" s="140"/>
    <row r="751" ht="14.25" customHeight="1" s="140"/>
    <row r="752" ht="14.25" customHeight="1" s="140"/>
    <row r="753" ht="14.25" customHeight="1" s="140"/>
    <row r="754" ht="14.25" customHeight="1" s="140"/>
    <row r="755" ht="14.25" customHeight="1" s="140"/>
    <row r="756" ht="14.25" customHeight="1" s="140"/>
    <row r="757" ht="14.25" customHeight="1" s="140"/>
    <row r="758" ht="14.25" customHeight="1" s="140"/>
    <row r="759" ht="14.25" customHeight="1" s="140"/>
    <row r="760" ht="14.25" customHeight="1" s="140"/>
    <row r="761" ht="14.25" customHeight="1" s="140"/>
    <row r="762" ht="14.25" customHeight="1" s="140"/>
    <row r="763" ht="14.25" customHeight="1" s="140"/>
    <row r="764" ht="14.25" customHeight="1" s="140"/>
    <row r="765" ht="14.25" customHeight="1" s="140"/>
    <row r="766" ht="14.25" customHeight="1" s="140"/>
    <row r="767" ht="14.25" customHeight="1" s="140"/>
    <row r="768" ht="14.25" customHeight="1" s="140"/>
    <row r="769" ht="14.25" customHeight="1" s="140"/>
    <row r="770" ht="14.25" customHeight="1" s="140"/>
    <row r="771" ht="14.25" customHeight="1" s="140"/>
    <row r="772" ht="14.25" customHeight="1" s="140"/>
    <row r="773" ht="14.25" customHeight="1" s="140"/>
    <row r="774" ht="14.25" customHeight="1" s="140"/>
    <row r="775" ht="14.25" customHeight="1" s="140"/>
    <row r="776" ht="14.25" customHeight="1" s="140"/>
    <row r="777" ht="14.25" customHeight="1" s="140"/>
    <row r="778" ht="14.25" customHeight="1" s="140"/>
    <row r="779" ht="14.25" customHeight="1" s="140"/>
    <row r="780" ht="14.25" customHeight="1" s="140"/>
    <row r="781" ht="14.25" customHeight="1" s="140"/>
    <row r="782" ht="14.25" customHeight="1" s="140"/>
    <row r="783" ht="14.25" customHeight="1" s="140"/>
    <row r="784" ht="14.25" customHeight="1" s="140"/>
    <row r="785" ht="14.25" customHeight="1" s="140"/>
    <row r="786" ht="14.25" customHeight="1" s="140"/>
    <row r="787" ht="14.25" customHeight="1" s="140"/>
    <row r="788" ht="14.25" customHeight="1" s="140"/>
    <row r="789" ht="14.25" customHeight="1" s="140"/>
    <row r="790" ht="14.25" customHeight="1" s="140"/>
    <row r="791" ht="14.25" customHeight="1" s="140"/>
    <row r="792" ht="14.25" customHeight="1" s="140"/>
    <row r="793" ht="14.25" customHeight="1" s="140"/>
    <row r="794" ht="14.25" customHeight="1" s="140"/>
    <row r="795" ht="14.25" customHeight="1" s="140"/>
    <row r="796" ht="14.25" customHeight="1" s="140"/>
    <row r="797" ht="14.25" customHeight="1" s="140"/>
    <row r="798" ht="14.25" customHeight="1" s="140"/>
    <row r="799" ht="14.25" customHeight="1" s="140"/>
    <row r="800" ht="14.25" customHeight="1" s="140"/>
    <row r="801" ht="14.25" customHeight="1" s="140"/>
    <row r="802" ht="14.25" customHeight="1" s="140"/>
    <row r="803" ht="14.25" customHeight="1" s="140"/>
    <row r="804" ht="14.25" customHeight="1" s="140"/>
    <row r="805" ht="14.25" customHeight="1" s="140"/>
    <row r="806" ht="14.25" customHeight="1" s="140"/>
    <row r="807" ht="14.25" customHeight="1" s="140"/>
    <row r="808" ht="14.25" customHeight="1" s="140"/>
    <row r="809" ht="14.25" customHeight="1" s="140"/>
    <row r="810" ht="14.25" customHeight="1" s="140"/>
    <row r="811" ht="14.25" customHeight="1" s="140"/>
    <row r="812" ht="14.25" customHeight="1" s="140"/>
    <row r="813" ht="14.25" customHeight="1" s="140"/>
    <row r="814" ht="14.25" customHeight="1" s="140"/>
    <row r="815" ht="14.25" customHeight="1" s="140"/>
    <row r="816" ht="14.25" customHeight="1" s="140"/>
    <row r="817" ht="14.25" customHeight="1" s="140"/>
    <row r="818" ht="14.25" customHeight="1" s="140"/>
    <row r="819" ht="14.25" customHeight="1" s="140"/>
    <row r="820" ht="14.25" customHeight="1" s="140"/>
    <row r="821" ht="14.25" customHeight="1" s="140"/>
    <row r="822" ht="14.25" customHeight="1" s="140"/>
    <row r="823" ht="14.25" customHeight="1" s="140"/>
    <row r="824" ht="14.25" customHeight="1" s="140"/>
    <row r="825" ht="14.25" customHeight="1" s="140"/>
    <row r="826" ht="14.25" customHeight="1" s="140"/>
    <row r="827" ht="14.25" customHeight="1" s="140"/>
    <row r="828" ht="14.25" customHeight="1" s="140"/>
    <row r="829" ht="14.25" customHeight="1" s="140"/>
    <row r="830" ht="14.25" customHeight="1" s="140"/>
    <row r="831" ht="14.25" customHeight="1" s="140"/>
    <row r="832" ht="14.25" customHeight="1" s="140"/>
    <row r="833" ht="14.25" customHeight="1" s="140"/>
    <row r="834" ht="14.25" customHeight="1" s="140"/>
    <row r="835" ht="14.25" customHeight="1" s="140"/>
    <row r="836" ht="14.25" customHeight="1" s="140"/>
    <row r="837" ht="14.25" customHeight="1" s="140"/>
    <row r="838" ht="14.25" customHeight="1" s="140"/>
    <row r="839" ht="14.25" customHeight="1" s="140"/>
    <row r="840" ht="14.25" customHeight="1" s="140"/>
    <row r="841" ht="14.25" customHeight="1" s="140"/>
    <row r="842" ht="14.25" customHeight="1" s="140"/>
    <row r="843" ht="14.25" customHeight="1" s="140"/>
    <row r="844" ht="14.25" customHeight="1" s="140"/>
    <row r="845" ht="14.25" customHeight="1" s="140"/>
    <row r="846" ht="14.25" customHeight="1" s="140"/>
    <row r="847" ht="14.25" customHeight="1" s="140"/>
    <row r="848" ht="14.25" customHeight="1" s="140"/>
    <row r="849" ht="14.25" customHeight="1" s="140"/>
    <row r="850" ht="14.25" customHeight="1" s="140"/>
    <row r="851" ht="14.25" customHeight="1" s="140"/>
    <row r="852" ht="14.25" customHeight="1" s="140"/>
    <row r="853" ht="14.25" customHeight="1" s="140"/>
    <row r="854" ht="14.25" customHeight="1" s="140"/>
    <row r="855" ht="14.25" customHeight="1" s="140"/>
    <row r="856" ht="14.25" customHeight="1" s="140"/>
    <row r="857" ht="14.25" customHeight="1" s="140"/>
    <row r="858" ht="14.25" customHeight="1" s="140"/>
    <row r="859" ht="14.25" customHeight="1" s="140"/>
    <row r="860" ht="14.25" customHeight="1" s="140"/>
    <row r="861" ht="14.25" customHeight="1" s="140"/>
    <row r="862" ht="14.25" customHeight="1" s="140"/>
    <row r="863" ht="14.25" customHeight="1" s="140"/>
    <row r="864" ht="14.25" customHeight="1" s="140"/>
    <row r="865" ht="14.25" customHeight="1" s="140"/>
    <row r="866" ht="14.25" customHeight="1" s="140"/>
    <row r="867" ht="14.25" customHeight="1" s="140"/>
    <row r="868" ht="14.25" customHeight="1" s="140"/>
    <row r="869" ht="14.25" customHeight="1" s="140"/>
    <row r="870" ht="14.25" customHeight="1" s="140"/>
    <row r="871" ht="14.25" customHeight="1" s="140"/>
    <row r="872" ht="14.25" customHeight="1" s="140"/>
    <row r="873" ht="14.25" customHeight="1" s="140"/>
    <row r="874" ht="14.25" customHeight="1" s="140"/>
    <row r="875" ht="14.25" customHeight="1" s="140"/>
    <row r="876" ht="14.25" customHeight="1" s="140"/>
    <row r="877" ht="14.25" customHeight="1" s="140"/>
    <row r="878" ht="14.25" customHeight="1" s="140"/>
    <row r="879" ht="14.25" customHeight="1" s="140"/>
    <row r="880" ht="14.25" customHeight="1" s="140"/>
    <row r="881" ht="14.25" customHeight="1" s="140"/>
    <row r="882" ht="14.25" customHeight="1" s="140"/>
    <row r="883" ht="14.25" customHeight="1" s="140"/>
    <row r="884" ht="14.25" customHeight="1" s="140"/>
    <row r="885" ht="14.25" customHeight="1" s="140"/>
    <row r="886" ht="14.25" customHeight="1" s="140"/>
    <row r="887" ht="14.25" customHeight="1" s="140"/>
    <row r="888" ht="14.25" customHeight="1" s="140"/>
    <row r="889" ht="14.25" customHeight="1" s="140"/>
    <row r="890" ht="14.25" customHeight="1" s="140"/>
    <row r="891" ht="14.25" customHeight="1" s="140"/>
    <row r="892" ht="14.25" customHeight="1" s="140"/>
    <row r="893" ht="14.25" customHeight="1" s="140"/>
    <row r="894" ht="14.25" customHeight="1" s="140"/>
    <row r="895" ht="14.25" customHeight="1" s="140"/>
    <row r="896" ht="14.25" customHeight="1" s="140"/>
    <row r="897" ht="14.25" customHeight="1" s="140"/>
    <row r="898" ht="14.25" customHeight="1" s="140"/>
    <row r="899" ht="14.25" customHeight="1" s="140"/>
    <row r="900" ht="14.25" customHeight="1" s="140"/>
    <row r="901" ht="14.25" customHeight="1" s="140"/>
    <row r="902" ht="14.25" customHeight="1" s="140"/>
    <row r="903" ht="14.25" customHeight="1" s="140"/>
    <row r="904" ht="14.25" customHeight="1" s="140"/>
    <row r="905" ht="14.25" customHeight="1" s="140"/>
    <row r="906" ht="14.25" customHeight="1" s="140"/>
    <row r="907" ht="14.25" customHeight="1" s="140"/>
    <row r="908" ht="14.25" customHeight="1" s="140"/>
    <row r="909" ht="14.25" customHeight="1" s="140"/>
    <row r="910" ht="14.25" customHeight="1" s="140"/>
    <row r="911" ht="14.25" customHeight="1" s="140"/>
    <row r="912" ht="14.25" customHeight="1" s="140"/>
    <row r="913" ht="14.25" customHeight="1" s="140"/>
    <row r="914" ht="14.25" customHeight="1" s="140"/>
    <row r="915" ht="14.25" customHeight="1" s="140"/>
    <row r="916" ht="14.25" customHeight="1" s="140"/>
    <row r="917" ht="14.25" customHeight="1" s="140"/>
    <row r="918" ht="14.25" customHeight="1" s="140"/>
    <row r="919" ht="14.25" customHeight="1" s="140"/>
    <row r="920" ht="14.25" customHeight="1" s="140"/>
    <row r="921" ht="14.25" customHeight="1" s="140"/>
    <row r="922" ht="14.25" customHeight="1" s="140"/>
    <row r="923" ht="14.25" customHeight="1" s="140"/>
    <row r="924" ht="14.25" customHeight="1" s="140"/>
    <row r="925" ht="14.25" customHeight="1" s="140"/>
    <row r="926" ht="14.25" customHeight="1" s="140"/>
    <row r="927" ht="14.25" customHeight="1" s="140"/>
    <row r="928" ht="14.25" customHeight="1" s="140"/>
    <row r="929" ht="14.25" customHeight="1" s="140"/>
    <row r="930" ht="14.25" customHeight="1" s="140"/>
    <row r="931" ht="14.25" customHeight="1" s="140"/>
    <row r="932" ht="14.25" customHeight="1" s="140"/>
    <row r="933" ht="14.25" customHeight="1" s="140"/>
    <row r="934" ht="14.25" customHeight="1" s="140"/>
    <row r="935" ht="14.25" customHeight="1" s="140"/>
    <row r="936" ht="14.25" customHeight="1" s="140"/>
    <row r="937" ht="14.25" customHeight="1" s="140"/>
    <row r="938" ht="14.25" customHeight="1" s="140"/>
    <row r="939" ht="14.25" customHeight="1" s="140"/>
    <row r="940" ht="14.25" customHeight="1" s="140"/>
    <row r="941" ht="14.25" customHeight="1" s="140"/>
    <row r="942" ht="14.25" customHeight="1" s="140"/>
    <row r="943" ht="14.25" customHeight="1" s="140"/>
    <row r="944" ht="14.25" customHeight="1" s="140"/>
    <row r="945" ht="14.25" customHeight="1" s="140"/>
    <row r="946" ht="14.25" customHeight="1" s="140"/>
    <row r="947" ht="14.25" customHeight="1" s="140"/>
    <row r="948" ht="14.25" customHeight="1" s="140"/>
    <row r="949" ht="14.25" customHeight="1" s="140"/>
    <row r="950" ht="14.25" customHeight="1" s="140"/>
  </sheetData>
  <mergeCells count="10">
    <mergeCell ref="AG3:AN3"/>
    <mergeCell ref="A1:C2"/>
    <mergeCell ref="E1:AL1"/>
    <mergeCell ref="E2:AL2"/>
    <mergeCell ref="AM1:AN2"/>
    <mergeCell ref="M3:R3"/>
    <mergeCell ref="X3:Z3"/>
    <mergeCell ref="AA3:AF3"/>
    <mergeCell ref="A3:L3"/>
    <mergeCell ref="S3:W3"/>
  </mergeCells>
  <dataValidations count="7">
    <dataValidation sqref="F5:F24" showDropDown="0" showInputMessage="0" showErrorMessage="1" allowBlank="1" type="list">
      <formula1>PARAMETROS!$D$32:$D$41</formula1>
    </dataValidation>
    <dataValidation sqref="G5:G24" showDropDown="0" showInputMessage="0" showErrorMessage="1" allowBlank="1" type="list">
      <formula1>PARAMETROS!$A$32:$A$39</formula1>
    </dataValidation>
    <dataValidation sqref="S5:S24" showDropDown="0" showInputMessage="1" showErrorMessage="1" allowBlank="1" prompt="Seleccione una opción - ¿Requiere escalamiento?" type="list">
      <formula1>PARAMETROS!$F$32:$F$33</formula1>
    </dataValidation>
    <dataValidation sqref="H5:H24" showDropDown="0" showInputMessage="1" showErrorMessage="1" allowBlank="1" prompt="Seleccione una opción - Impacto del incidente" type="list">
      <formula1>PARAMETROS!$B$32:$B$34</formula1>
    </dataValidation>
    <dataValidation sqref="T5:T24" showDropDown="0" showInputMessage="1" showErrorMessage="1" allowBlank="1" prompt="Seleccione una opción - Nivel de escalamiento" type="list">
      <formula1>PARAMETROS!$E$32:$E$34</formula1>
    </dataValidation>
    <dataValidation sqref="I5:J24" showDropDown="0" showInputMessage="1" showErrorMessage="1" allowBlank="1" prompt="Seleccione una opción - Urgencia del incidente" type="list">
      <formula1>PARAMETROS!$C$32:$C$34</formula1>
    </dataValidation>
    <dataValidation sqref="AJ5:AJ24" showDropDown="0" showInputMessage="1" showErrorMessage="1" allowBlank="1" prompt="Seleccione una opción - Conformidad del usuario para el cierre" type="list">
      <formula1>PARAMETROS!$G$32:$G$34</formula1>
    </dataValidation>
  </dataValidations>
  <pageMargins left="0.7086614173228347" right="0.7086614173228347" top="0.7480314960629921" bottom="0.7480314960629921" header="0" footer="0"/>
  <pageSetup orientation="landscape"/>
  <drawing xmlns:r="http://schemas.openxmlformats.org/officeDocument/2006/relationships" r:id="rId1"/>
</worksheet>
</file>

<file path=xl/worksheets/sheet2.xml><?xml version="1.0" encoding="utf-8"?>
<worksheet xmlns="http://schemas.openxmlformats.org/spreadsheetml/2006/main">
  <sheetPr>
    <tabColor rgb="FFC1272D"/>
    <outlinePr summaryBelow="1" summaryRight="1"/>
    <pageSetUpPr/>
  </sheetPr>
  <dimension ref="A1:G55"/>
  <sheetViews>
    <sheetView showGridLines="0" workbookViewId="0">
      <selection activeCell="A1" sqref="A1"/>
    </sheetView>
  </sheetViews>
  <sheetFormatPr baseColWidth="8" defaultColWidth="14.43" defaultRowHeight="15" customHeight="1"/>
  <cols>
    <col width="17.57" customWidth="1" style="140" min="1" max="1"/>
    <col width="17.29" customWidth="1" style="140" min="2" max="2"/>
    <col width="20.29" customWidth="1" style="140" min="3" max="7"/>
    <col width="11.43" customWidth="1" style="140" min="8" max="26"/>
  </cols>
  <sheetData>
    <row r="1" ht="30" customHeight="1" s="140">
      <c r="A1" s="156" t="n"/>
    </row>
    <row r="2" ht="14.25" customHeight="1" s="140">
      <c r="A2" s="4" t="n"/>
      <c r="B2" s="4" t="n"/>
      <c r="C2" s="4" t="n"/>
      <c r="D2" s="4" t="n"/>
      <c r="E2" s="4" t="n"/>
      <c r="F2" s="4" t="n"/>
      <c r="G2" s="4" t="n"/>
    </row>
    <row r="3" ht="14.25" customHeight="1" s="140">
      <c r="A3" s="157" t="inlineStr">
        <is>
          <t>1. Matriz de priorización (Impacto x Urgencia)</t>
        </is>
      </c>
    </row>
    <row r="4" ht="14.25" customHeight="1" s="140">
      <c r="A4" s="4" t="n"/>
      <c r="B4" s="4" t="n"/>
      <c r="C4" s="4" t="n"/>
      <c r="D4" s="4" t="n"/>
      <c r="E4" s="4" t="n"/>
      <c r="F4" s="4" t="n"/>
      <c r="G4" s="4" t="n"/>
    </row>
    <row r="5" ht="14.25" customHeight="1" s="140">
      <c r="A5" s="4" t="n"/>
      <c r="B5" s="10" t="inlineStr">
        <is>
          <t>Impacto \ Urgencia</t>
        </is>
      </c>
      <c r="C5" s="11" t="inlineStr">
        <is>
          <t>Alta</t>
        </is>
      </c>
      <c r="D5" s="11" t="inlineStr">
        <is>
          <t>Media</t>
        </is>
      </c>
      <c r="E5" s="13" t="inlineStr">
        <is>
          <t>Baja</t>
        </is>
      </c>
      <c r="F5" s="4" t="n"/>
      <c r="G5" s="4" t="n"/>
    </row>
    <row r="6" ht="14.25" customHeight="1" s="140">
      <c r="A6" s="4" t="n"/>
      <c r="B6" s="15" t="inlineStr">
        <is>
          <t>Alto</t>
        </is>
      </c>
      <c r="C6" s="16" t="inlineStr">
        <is>
          <t>P1</t>
        </is>
      </c>
      <c r="D6" s="16" t="inlineStr">
        <is>
          <t>P2</t>
        </is>
      </c>
      <c r="E6" s="17" t="inlineStr">
        <is>
          <t>P3</t>
        </is>
      </c>
      <c r="F6" s="4" t="n"/>
      <c r="G6" s="4" t="n"/>
    </row>
    <row r="7" ht="14.25" customHeight="1" s="140">
      <c r="A7" s="4" t="n"/>
      <c r="B7" s="15" t="inlineStr">
        <is>
          <t>Medio</t>
        </is>
      </c>
      <c r="C7" s="16" t="inlineStr">
        <is>
          <t>P2</t>
        </is>
      </c>
      <c r="D7" s="16" t="inlineStr">
        <is>
          <t>P3</t>
        </is>
      </c>
      <c r="E7" s="17" t="inlineStr">
        <is>
          <t>P4</t>
        </is>
      </c>
      <c r="F7" s="4" t="n"/>
      <c r="G7" s="4" t="n"/>
    </row>
    <row r="8" ht="14.25" customHeight="1" s="140">
      <c r="A8" s="4" t="n"/>
      <c r="B8" s="18" t="inlineStr">
        <is>
          <t>Bajo</t>
        </is>
      </c>
      <c r="C8" s="19" t="inlineStr">
        <is>
          <t>P3</t>
        </is>
      </c>
      <c r="D8" s="19" t="inlineStr">
        <is>
          <t>P4</t>
        </is>
      </c>
      <c r="E8" s="20" t="inlineStr">
        <is>
          <t>P4</t>
        </is>
      </c>
      <c r="F8" s="4" t="n"/>
      <c r="G8" s="4" t="n"/>
    </row>
    <row r="9" ht="14.25" customHeight="1" s="140">
      <c r="A9" s="4" t="n"/>
      <c r="B9" s="4" t="n"/>
      <c r="C9" s="4" t="n"/>
      <c r="D9" s="4" t="n"/>
      <c r="E9" s="4" t="n"/>
      <c r="F9" s="4" t="n"/>
      <c r="G9" s="4" t="n"/>
    </row>
    <row r="10" ht="14.25" customHeight="1" s="140">
      <c r="A10" s="4" t="n"/>
      <c r="B10" s="158" t="inlineStr">
        <is>
          <t>1.1 Criterios de Impacto (afectación al servicio y al negocio)</t>
        </is>
      </c>
    </row>
    <row r="11" ht="14.25" customHeight="1" s="140">
      <c r="A11" s="4" t="n"/>
      <c r="B11" s="26" t="inlineStr">
        <is>
          <t>Nivel</t>
        </is>
      </c>
      <c r="C11" s="159" t="inlineStr">
        <is>
          <t>Descripción / criterio de aplicación</t>
        </is>
      </c>
      <c r="D11" s="160" t="n"/>
      <c r="E11" s="160" t="n"/>
      <c r="F11" s="160" t="n"/>
      <c r="G11" s="161" t="n"/>
    </row>
    <row r="12" ht="48" customHeight="1" s="140">
      <c r="A12" s="4" t="n"/>
      <c r="B12" s="33" t="inlineStr">
        <is>
          <t>Alto</t>
        </is>
      </c>
      <c r="C12" s="56" t="inlineStr">
        <is>
          <t>Afecta a toda la organización o a un servicio crítico: interrupción total del servicio, pérdida, exposición o alteración de información confidencial, o incumplimiento legal, regulatorio o contractual.</t>
        </is>
      </c>
      <c r="D12" s="162" t="n"/>
      <c r="E12" s="162" t="n"/>
      <c r="F12" s="162" t="n"/>
      <c r="G12" s="163" t="n"/>
    </row>
    <row r="13" ht="48" customHeight="1" s="140">
      <c r="A13" s="4" t="n"/>
      <c r="B13" s="33" t="inlineStr">
        <is>
          <t>Medio</t>
        </is>
      </c>
      <c r="C13" s="61" t="inlineStr">
        <is>
          <t>Afecta a un área, proceso o grupo de usuarios: degradación o interrupción parcial del servicio con solución alternativa disponible y sin pérdida confirmada de información.</t>
        </is>
      </c>
      <c r="D13" s="162" t="n"/>
      <c r="E13" s="162" t="n"/>
      <c r="F13" s="162" t="n"/>
      <c r="G13" s="163" t="n"/>
    </row>
    <row r="14" ht="48" customHeight="1" s="140">
      <c r="A14" s="4" t="n"/>
      <c r="B14" s="38" t="inlineStr">
        <is>
          <t>Bajo</t>
        </is>
      </c>
      <c r="C14" s="164" t="inlineStr">
        <is>
          <t>Afecta a un usuario o a un servicio no crítico: sin pérdida de información, sin incumplimiento y sin efecto apreciable en la operación del negocio.</t>
        </is>
      </c>
      <c r="D14" s="165" t="n"/>
      <c r="E14" s="165" t="n"/>
      <c r="F14" s="165" t="n"/>
      <c r="G14" s="166" t="n"/>
    </row>
    <row r="15" ht="14.25" customHeight="1" s="140">
      <c r="A15" s="4" t="n"/>
      <c r="B15" s="4" t="n"/>
      <c r="C15" s="4" t="n"/>
      <c r="D15" s="4" t="n"/>
      <c r="E15" s="4" t="n"/>
      <c r="F15" s="4" t="n"/>
      <c r="G15" s="4" t="n"/>
    </row>
    <row r="16" ht="14.25" customHeight="1" s="140">
      <c r="A16" s="4" t="n"/>
      <c r="B16" s="167" t="inlineStr">
        <is>
          <t>1.2 Criterios de Urgencia (rapidez con que debe atenderse)</t>
        </is>
      </c>
    </row>
    <row r="17" ht="14.25" customHeight="1" s="140">
      <c r="A17" s="4" t="n"/>
      <c r="B17" s="45" t="inlineStr">
        <is>
          <t>Nivel</t>
        </is>
      </c>
      <c r="C17" s="168" t="inlineStr">
        <is>
          <t>Descripción / criterio de aplicación</t>
        </is>
      </c>
      <c r="D17" s="160" t="n"/>
      <c r="E17" s="160" t="n"/>
      <c r="F17" s="160" t="n"/>
      <c r="G17" s="161" t="n"/>
    </row>
    <row r="18" ht="43.5" customHeight="1" s="140">
      <c r="A18" s="4" t="n"/>
      <c r="B18" s="33" t="inlineStr">
        <is>
          <t>Alta</t>
        </is>
      </c>
      <c r="C18" s="56" t="inlineStr">
        <is>
          <t>Requiere atención inmediata: el incidente está activo o en propagación, no existe solución alternativa y el daño crece con el tiempo.</t>
        </is>
      </c>
      <c r="D18" s="162" t="n"/>
      <c r="E18" s="162" t="n"/>
      <c r="F18" s="162" t="n"/>
      <c r="G18" s="163" t="n"/>
    </row>
    <row r="19" ht="43.5" customHeight="1" s="140">
      <c r="A19" s="4" t="n"/>
      <c r="B19" s="33" t="inlineStr">
        <is>
          <t>Media</t>
        </is>
      </c>
      <c r="C19" s="61" t="inlineStr">
        <is>
          <t>Requiere atención dentro de la jornada laboral: existe solución alternativa temporal y el daño no aumenta de forma acelerada.</t>
        </is>
      </c>
      <c r="D19" s="162" t="n"/>
      <c r="E19" s="162" t="n"/>
      <c r="F19" s="162" t="n"/>
      <c r="G19" s="163" t="n"/>
    </row>
    <row r="20" ht="43.5" customHeight="1" s="140">
      <c r="A20" s="4" t="n"/>
      <c r="B20" s="38" t="inlineStr">
        <is>
          <t>Baja</t>
        </is>
      </c>
      <c r="C20" s="164" t="inlineStr">
        <is>
          <t>Puede atenderse según programación: incidente contenido o ya finalizado, sin riesgo de propagación ni de aumento del daño.</t>
        </is>
      </c>
      <c r="D20" s="165" t="n"/>
      <c r="E20" s="165" t="n"/>
      <c r="F20" s="165" t="n"/>
      <c r="G20" s="166" t="n"/>
    </row>
    <row r="21" ht="14.25" customHeight="1" s="140">
      <c r="A21" s="4" t="n"/>
      <c r="B21" s="4" t="n"/>
      <c r="C21" s="4" t="n"/>
      <c r="D21" s="4" t="n"/>
      <c r="E21" s="4" t="n"/>
      <c r="F21" s="4" t="n"/>
      <c r="G21" s="4" t="n"/>
    </row>
    <row r="22" ht="14.25" customHeight="1" s="140">
      <c r="A22" s="169" t="inlineStr">
        <is>
          <t>2. Acuerdos de nivel de servicio (SLA) por prioridad</t>
        </is>
      </c>
    </row>
    <row r="23" ht="14.25" customHeight="1" s="140">
      <c r="A23" s="4" t="n"/>
      <c r="B23" s="4" t="n"/>
      <c r="C23" s="4" t="n"/>
      <c r="D23" s="4" t="n"/>
      <c r="E23" s="4" t="n"/>
      <c r="F23" s="4" t="n"/>
      <c r="G23" s="4" t="n"/>
    </row>
    <row r="24" ht="14.25" customHeight="1" s="140">
      <c r="A24" s="10" t="inlineStr">
        <is>
          <t>Prioridad</t>
        </is>
      </c>
      <c r="B24" s="11" t="inlineStr">
        <is>
          <t>Severidad (rango Stellar Cyber)</t>
        </is>
      </c>
      <c r="C24" s="11" t="inlineStr">
        <is>
          <t>Triaje / disposición inicial</t>
        </is>
      </c>
      <c r="D24" s="11" t="inlineStr">
        <is>
          <t>Acuse de recibo (h)</t>
        </is>
      </c>
      <c r="E24" s="11" t="inlineStr">
        <is>
          <t>Notificación inicial al cliente (h)</t>
        </is>
      </c>
      <c r="F24" s="11" t="inlineStr">
        <is>
          <t>Canal primario de notificación</t>
        </is>
      </c>
      <c r="G24" s="13" t="inlineStr">
        <is>
          <t>Frecuencia de actualización</t>
        </is>
      </c>
    </row>
    <row r="25" ht="14.25" customHeight="1" s="140">
      <c r="A25" s="52" t="inlineStr">
        <is>
          <t>P1</t>
        </is>
      </c>
      <c r="B25" s="53" t="inlineStr">
        <is>
          <t>Crítica (90 - 100)</t>
        </is>
      </c>
      <c r="C25" s="54" t="inlineStr">
        <is>
          <t>15 min desde la asignación del caso</t>
        </is>
      </c>
      <c r="D25" s="53" t="n">
        <v>0.33</v>
      </c>
      <c r="E25" s="53" t="n">
        <v>1</v>
      </c>
      <c r="F25" s="54" t="inlineStr">
        <is>
          <t>Teléfono (notificación inicial) + Portal del Cliente (RFA); correo de resumen a la gerencia de TI</t>
        </is>
      </c>
      <c r="G25" s="56" t="inlineStr">
        <is>
          <t>Cada hora hasta la contención</t>
        </is>
      </c>
    </row>
    <row r="26" ht="14.25" customHeight="1" s="140">
      <c r="A26" s="57" t="inlineStr">
        <is>
          <t>P2</t>
        </is>
      </c>
      <c r="B26" s="58" t="inlineStr">
        <is>
          <t>Alta / Mayor (75 - 89)</t>
        </is>
      </c>
      <c r="C26" s="60" t="inlineStr">
        <is>
          <t>15 min desde la asignación del caso</t>
        </is>
      </c>
      <c r="D26" s="58" t="n">
        <v>2</v>
      </c>
      <c r="E26" s="58" t="n">
        <v>4</v>
      </c>
      <c r="F26" s="60" t="inlineStr">
        <is>
          <t>Portal del Cliente (RFA); correo electrónico de notificación</t>
        </is>
      </c>
      <c r="G26" s="61" t="inlineStr">
        <is>
          <t>Cada 4 horas hasta la contención</t>
        </is>
      </c>
    </row>
    <row r="27" ht="14.25" customHeight="1" s="140">
      <c r="A27" s="52" t="inlineStr">
        <is>
          <t>P3</t>
        </is>
      </c>
      <c r="B27" s="53" t="inlineStr">
        <is>
          <t>Media / Menor (41 - 74)</t>
        </is>
      </c>
      <c r="C27" s="54" t="inlineStr">
        <is>
          <t>Triaje dentro del turno de detección</t>
        </is>
      </c>
      <c r="D27" s="53" t="n">
        <v>8</v>
      </c>
      <c r="E27" s="53" t="n">
        <v>24</v>
      </c>
      <c r="F27" s="54" t="inlineStr">
        <is>
          <t>Portal del Cliente (RFA)</t>
        </is>
      </c>
      <c r="G27" s="56" t="inlineStr">
        <is>
          <t>Actualizaciones según sea necesario</t>
        </is>
      </c>
    </row>
    <row r="28" ht="14.25" customHeight="1" s="140">
      <c r="A28" s="62" t="inlineStr">
        <is>
          <t>P4</t>
        </is>
      </c>
      <c r="B28" s="64" t="inlineStr">
        <is>
          <t>Baja / Informativa (&lt; 40)</t>
        </is>
      </c>
      <c r="C28" s="65" t="inlineStr">
        <is>
          <t>Gestión rutinaria dentro del turno de detección</t>
        </is>
      </c>
      <c r="D28" s="64" t="n">
        <v>168</v>
      </c>
      <c r="E28" s="64" t="n">
        <v>168</v>
      </c>
      <c r="F28" s="65" t="inlineStr">
        <is>
          <t>Portal del Cliente (registro del caso, sin RFA obligatoria)</t>
        </is>
      </c>
      <c r="G28" s="66" t="inlineStr">
        <is>
          <t>Reporte en el informe periódico al cliente</t>
        </is>
      </c>
    </row>
    <row r="29" ht="24.75" customHeight="1" s="140">
      <c r="A29" s="67" t="inlineStr">
        <is>
          <t>Nota: los tiempos corresponden al acuse de recibo (SLO interno) y a la notificación inicial al cliente. P3 en horas hábiles; P4 = mejor esfuerzo / revisión semanal (168 h). Fuente: TB-THN-POS-01 Rev. 01 y Plan Estratégico y Operativo del Servicio SOCaaS.</t>
        </is>
      </c>
      <c r="B29" s="170" t="n"/>
      <c r="C29" s="170" t="n"/>
      <c r="D29" s="170" t="n"/>
      <c r="E29" s="170" t="n"/>
      <c r="F29" s="170" t="n"/>
      <c r="G29" s="170" t="n"/>
    </row>
    <row r="30" ht="14.25" customHeight="1" s="140">
      <c r="A30" s="169" t="inlineStr">
        <is>
          <t>3. Listas de validación (desplegables del registro)</t>
        </is>
      </c>
    </row>
    <row r="31" ht="14.25" customHeight="1" s="140">
      <c r="A31" s="10" t="inlineStr">
        <is>
          <t>Estado</t>
        </is>
      </c>
      <c r="B31" s="11" t="inlineStr">
        <is>
          <t>Impacto</t>
        </is>
      </c>
      <c r="C31" s="11" t="inlineStr">
        <is>
          <t>Urgencia</t>
        </is>
      </c>
      <c r="D31" s="11" t="inlineStr">
        <is>
          <t>Clasificación</t>
        </is>
      </c>
      <c r="E31" s="11" t="inlineStr">
        <is>
          <t>Nivel de escalamiento</t>
        </is>
      </c>
      <c r="F31" s="11" t="inlineStr">
        <is>
          <t>Sí / No</t>
        </is>
      </c>
      <c r="G31" s="13" t="inlineStr">
        <is>
          <t>Conformidad del usuario</t>
        </is>
      </c>
    </row>
    <row r="32" ht="14.25" customHeight="1" s="140">
      <c r="A32" s="71" t="inlineStr">
        <is>
          <t>Nuevo</t>
        </is>
      </c>
      <c r="B32" s="54" t="inlineStr">
        <is>
          <t>Alto</t>
        </is>
      </c>
      <c r="C32" s="54" t="inlineStr">
        <is>
          <t>Alta</t>
        </is>
      </c>
      <c r="D32" s="54" t="inlineStr">
        <is>
          <t>Obtención de información</t>
        </is>
      </c>
      <c r="E32" s="54" t="inlineStr">
        <is>
          <t>N1 - Mesa de servicio SOC (L1)</t>
        </is>
      </c>
      <c r="F32" s="54" t="inlineStr">
        <is>
          <t>Sí</t>
        </is>
      </c>
      <c r="G32" s="56" t="inlineStr">
        <is>
          <t>Conforme</t>
        </is>
      </c>
    </row>
    <row r="33" ht="14.25" customHeight="1" s="140">
      <c r="A33" s="73" t="inlineStr">
        <is>
          <t>En investigación</t>
        </is>
      </c>
      <c r="B33" s="60" t="inlineStr">
        <is>
          <t>Medio</t>
        </is>
      </c>
      <c r="C33" s="60" t="inlineStr">
        <is>
          <t>Media</t>
        </is>
      </c>
      <c r="D33" s="60" t="inlineStr">
        <is>
          <t>Intento de intrusión</t>
        </is>
      </c>
      <c r="E33" s="60" t="inlineStr">
        <is>
          <t>N2 - Analista de seguridad (L2_Queue)</t>
        </is>
      </c>
      <c r="F33" s="60" t="inlineStr">
        <is>
          <t>No</t>
        </is>
      </c>
      <c r="G33" s="61" t="inlineStr">
        <is>
          <t>No conforme</t>
        </is>
      </c>
    </row>
    <row r="34" ht="14.25" customHeight="1" s="140">
      <c r="A34" s="71" t="inlineStr">
        <is>
          <t>En análisis</t>
        </is>
      </c>
      <c r="B34" s="54" t="inlineStr">
        <is>
          <t>Bajo</t>
        </is>
      </c>
      <c r="C34" s="54" t="inlineStr">
        <is>
          <t>Baja</t>
        </is>
      </c>
      <c r="D34" s="54" t="inlineStr">
        <is>
          <t>Fraude</t>
        </is>
      </c>
      <c r="E34" s="54" t="inlineStr">
        <is>
          <t>N3 - Proveedor / Externo</t>
        </is>
      </c>
      <c r="F34" s="54" t="n"/>
      <c r="G34" s="56" t="inlineStr">
        <is>
          <t>Pendiente</t>
        </is>
      </c>
    </row>
    <row r="35" ht="14.25" customHeight="1" s="140">
      <c r="A35" s="73" t="inlineStr">
        <is>
          <t>En respuesta</t>
        </is>
      </c>
      <c r="B35" s="60" t="n"/>
      <c r="C35" s="60" t="n"/>
      <c r="D35" s="60" t="inlineStr">
        <is>
          <t>Contenido dañino</t>
        </is>
      </c>
      <c r="E35" s="60" t="n"/>
      <c r="F35" s="60" t="n"/>
      <c r="G35" s="61" t="n"/>
    </row>
    <row r="36" ht="14.25" customHeight="1" s="140">
      <c r="A36" s="71" t="inlineStr">
        <is>
          <t>Escalado</t>
        </is>
      </c>
      <c r="B36" s="54" t="n"/>
      <c r="C36" s="54" t="n"/>
      <c r="D36" s="54" t="inlineStr">
        <is>
          <t>Intrusión</t>
        </is>
      </c>
      <c r="E36" s="54" t="n"/>
      <c r="F36" s="54" t="n"/>
      <c r="G36" s="56" t="n"/>
    </row>
    <row r="37" ht="14.25" customHeight="1" s="140">
      <c r="A37" s="73" t="inlineStr">
        <is>
          <t>Resuelto</t>
        </is>
      </c>
      <c r="B37" s="60" t="n"/>
      <c r="C37" s="60" t="n"/>
      <c r="D37" s="60" t="inlineStr">
        <is>
          <t>Compromiso de la información</t>
        </is>
      </c>
      <c r="E37" s="60" t="n"/>
      <c r="F37" s="60" t="n"/>
      <c r="G37" s="61" t="n"/>
    </row>
    <row r="38" ht="14.25" customHeight="1" s="140">
      <c r="A38" s="71" t="inlineStr">
        <is>
          <t>Cerrado</t>
        </is>
      </c>
      <c r="B38" s="54" t="n"/>
      <c r="C38" s="54" t="n"/>
      <c r="D38" s="54" t="inlineStr">
        <is>
          <t>Disponibilidad</t>
        </is>
      </c>
      <c r="E38" s="54" t="n"/>
      <c r="F38" s="54" t="n"/>
      <c r="G38" s="56" t="n"/>
    </row>
    <row r="39" ht="14.25" customHeight="1" s="140">
      <c r="A39" s="73" t="inlineStr">
        <is>
          <t>Cancelado</t>
        </is>
      </c>
      <c r="B39" s="60" t="n"/>
      <c r="C39" s="60" t="n"/>
      <c r="D39" s="60" t="inlineStr">
        <is>
          <t>Vulnerable</t>
        </is>
      </c>
      <c r="E39" s="60" t="n"/>
      <c r="F39" s="60" t="n"/>
      <c r="G39" s="61" t="n"/>
    </row>
    <row r="40" ht="14.25" customHeight="1" s="140">
      <c r="A40" s="71" t="n"/>
      <c r="B40" s="54" t="n"/>
      <c r="C40" s="54" t="n"/>
      <c r="D40" s="54" t="inlineStr">
        <is>
          <t>APT</t>
        </is>
      </c>
      <c r="E40" s="54" t="n"/>
      <c r="F40" s="54" t="n"/>
      <c r="G40" s="56" t="n"/>
    </row>
    <row r="41" ht="14.25" customHeight="1" s="140">
      <c r="A41" s="79" t="n"/>
      <c r="B41" s="80" t="n"/>
      <c r="C41" s="80" t="n"/>
      <c r="D41" s="80" t="inlineStr">
        <is>
          <t>Otros</t>
        </is>
      </c>
      <c r="E41" s="80" t="n"/>
      <c r="F41" s="80" t="n"/>
      <c r="G41" s="81" t="n"/>
    </row>
    <row r="42" ht="14.25" customHeight="1" s="140">
      <c r="A42" s="4" t="n"/>
      <c r="B42" s="4" t="n"/>
      <c r="C42" s="4" t="n"/>
      <c r="D42" s="4" t="n"/>
      <c r="E42" s="4" t="n"/>
      <c r="F42" s="4" t="n"/>
      <c r="G42" s="4" t="n"/>
    </row>
    <row r="43" ht="14.25" customHeight="1" s="140">
      <c r="A43" s="171" t="inlineStr">
        <is>
          <t>4. Correspondencia de la clasificación con el XDR Kill Chain y los playbooks operativos</t>
        </is>
      </c>
    </row>
    <row r="44" ht="14.25" customHeight="1" s="140">
      <c r="A44" s="84" t="n"/>
      <c r="B44" s="85" t="inlineStr">
        <is>
          <t>Clasificación</t>
        </is>
      </c>
      <c r="C44" s="11" t="inlineStr">
        <is>
          <t>Etapa del XDR Kill Chain</t>
        </is>
      </c>
      <c r="D44" s="172" t="n"/>
      <c r="E44" s="13" t="inlineStr">
        <is>
          <t>Playbook aplicable</t>
        </is>
      </c>
      <c r="F44" s="160" t="n"/>
      <c r="G44" s="161" t="n"/>
    </row>
    <row r="45" ht="14.25" customHeight="1" s="140">
      <c r="A45" s="88" t="n"/>
      <c r="B45" s="89" t="inlineStr">
        <is>
          <t>Obtención de información</t>
        </is>
      </c>
      <c r="C45" s="60" t="inlineStr">
        <is>
          <t>Intentos Iniciales</t>
        </is>
      </c>
      <c r="D45" s="173" t="n"/>
      <c r="E45" s="61" t="inlineStr">
        <is>
          <t>SC-PB-004 Reconocimiento y escaneo de red</t>
        </is>
      </c>
      <c r="F45" s="162" t="n"/>
      <c r="G45" s="163" t="n"/>
    </row>
    <row r="46" ht="14.25" customHeight="1" s="140">
      <c r="A46" s="88" t="n"/>
      <c r="B46" s="91" t="inlineStr">
        <is>
          <t>Intento de intrusión</t>
        </is>
      </c>
      <c r="C46" s="54" t="inlineStr">
        <is>
          <t>Intentos Iniciales</t>
        </is>
      </c>
      <c r="D46" s="173" t="n"/>
      <c r="E46" s="56" t="inlineStr">
        <is>
          <t>SC-PB-001 Compromiso de credenciales (fuerza bruta / password spraying)</t>
        </is>
      </c>
      <c r="F46" s="162" t="n"/>
      <c r="G46" s="163" t="n"/>
    </row>
    <row r="47" ht="14.25" customHeight="1" s="140">
      <c r="A47" s="88" t="n"/>
      <c r="B47" s="89" t="inlineStr">
        <is>
          <t>Fraude</t>
        </is>
      </c>
      <c r="C47" s="60" t="inlineStr">
        <is>
          <t>Intentos Iniciales</t>
        </is>
      </c>
      <c r="D47" s="173" t="n"/>
      <c r="E47" s="61" t="inlineStr">
        <is>
          <t>SC-PB-003 Actividad de phishing y posible exfiltración de datos</t>
        </is>
      </c>
      <c r="F47" s="162" t="n"/>
      <c r="G47" s="163" t="n"/>
    </row>
    <row r="48" ht="14.25" customHeight="1" s="140">
      <c r="A48" s="88" t="n"/>
      <c r="B48" s="91" t="inlineStr">
        <is>
          <t>Contenido dañino</t>
        </is>
      </c>
      <c r="C48" s="54" t="inlineStr">
        <is>
          <t>Persistencia</t>
        </is>
      </c>
      <c r="D48" s="173" t="n"/>
      <c r="E48" s="56" t="inlineStr">
        <is>
          <t>SC-PB-002 Infección por malware / ransomware</t>
        </is>
      </c>
      <c r="F48" s="162" t="n"/>
      <c r="G48" s="163" t="n"/>
    </row>
    <row r="49" ht="14.25" customHeight="1" s="140">
      <c r="A49" s="88" t="n"/>
      <c r="B49" s="89" t="inlineStr">
        <is>
          <t>Intrusión</t>
        </is>
      </c>
      <c r="C49" s="60" t="inlineStr">
        <is>
          <t>Exploración y Propagación</t>
        </is>
      </c>
      <c r="D49" s="173" t="n"/>
      <c r="E49" s="61" t="inlineStr">
        <is>
          <t>SC-PB-001 o SC-PB-002, según el vector confirmado</t>
        </is>
      </c>
      <c r="F49" s="162" t="n"/>
      <c r="G49" s="163" t="n"/>
    </row>
    <row r="50" ht="14.25" customHeight="1" s="140">
      <c r="A50" s="88" t="n"/>
      <c r="B50" s="91" t="inlineStr">
        <is>
          <t>Compromiso de la información</t>
        </is>
      </c>
      <c r="C50" s="54" t="inlineStr">
        <is>
          <t>Exfiltración e Impacto</t>
        </is>
      </c>
      <c r="D50" s="173" t="n"/>
      <c r="E50" s="56" t="inlineStr">
        <is>
          <t>SC-PB-003 y escalada a Nivel 2</t>
        </is>
      </c>
      <c r="F50" s="162" t="n"/>
      <c r="G50" s="163" t="n"/>
    </row>
    <row r="51" ht="14.25" customHeight="1" s="140">
      <c r="A51" s="88" t="n"/>
      <c r="B51" s="89" t="inlineStr">
        <is>
          <t>Disponibilidad</t>
        </is>
      </c>
      <c r="C51" s="60" t="inlineStr">
        <is>
          <t>Exfiltración e Impacto</t>
        </is>
      </c>
      <c r="D51" s="173" t="n"/>
      <c r="E51" s="61" t="inlineStr">
        <is>
          <t>Escalada directa a Nivel 2 y notificación conforme a la prioridad P1 o P2</t>
        </is>
      </c>
      <c r="F51" s="162" t="n"/>
      <c r="G51" s="163" t="n"/>
    </row>
    <row r="52" ht="14.25" customHeight="1" s="140">
      <c r="A52" s="88" t="n"/>
      <c r="B52" s="91" t="inlineStr">
        <is>
          <t>Vulnerable</t>
        </is>
      </c>
      <c r="C52" s="54" t="inlineStr">
        <is>
          <t>Exposición previa al ataque (sin etapa activa)</t>
        </is>
      </c>
      <c r="D52" s="173" t="n"/>
      <c r="E52" s="56" t="inlineStr">
        <is>
          <t>Gestión de vulnerabilidades: RFA de remediación preventiva</t>
        </is>
      </c>
      <c r="F52" s="162" t="n"/>
      <c r="G52" s="163" t="n"/>
    </row>
    <row r="53" ht="14.25" customHeight="1" s="140">
      <c r="A53" s="88" t="n"/>
      <c r="B53" s="89" t="inlineStr">
        <is>
          <t>APT</t>
        </is>
      </c>
      <c r="C53" s="60" t="inlineStr">
        <is>
          <t>Transversal a todas las etapas</t>
        </is>
      </c>
      <c r="D53" s="173" t="n"/>
      <c r="E53" s="61" t="inlineStr">
        <is>
          <t>Escalada obligatoria a Nivel 2 antes de emitir la RFA</t>
        </is>
      </c>
      <c r="F53" s="162" t="n"/>
      <c r="G53" s="163" t="n"/>
    </row>
    <row r="54" ht="14.25" customHeight="1" s="140">
      <c r="A54" s="88" t="n"/>
      <c r="B54" s="97" t="inlineStr">
        <is>
          <t>Otros</t>
        </is>
      </c>
      <c r="C54" s="174" t="inlineStr">
        <is>
          <t>Según determine el análisis</t>
        </is>
      </c>
      <c r="D54" s="175" t="n"/>
      <c r="E54" s="176" t="inlineStr">
        <is>
          <t>Escalada a Nivel 2 para definir el tratamiento</t>
        </is>
      </c>
      <c r="F54" s="177" t="n"/>
      <c r="G54" s="178" t="n"/>
    </row>
    <row r="55" ht="14.25" customHeight="1" s="140">
      <c r="A55" s="103" t="n"/>
      <c r="B55" s="103" t="n"/>
      <c r="C55" s="103" t="n"/>
      <c r="D55" s="103" t="n"/>
      <c r="E55" s="103" t="n"/>
      <c r="F55" s="103" t="n"/>
      <c r="G55" s="103" t="n"/>
    </row>
    <row r="56" ht="14.25" customHeight="1" s="140"/>
    <row r="57" ht="14.25" customHeight="1" s="140"/>
    <row r="58" ht="14.25" customHeight="1" s="140"/>
    <row r="59" ht="14.25" customHeight="1" s="140"/>
    <row r="60" ht="14.25" customHeight="1" s="140"/>
    <row r="61" ht="14.25" customHeight="1" s="140"/>
    <row r="62" ht="14.25" customHeight="1" s="140"/>
    <row r="63" ht="14.25" customHeight="1" s="140"/>
    <row r="64" ht="14.25" customHeight="1" s="140"/>
    <row r="65" ht="14.25" customHeight="1" s="140"/>
    <row r="66" ht="14.25" customHeight="1" s="140"/>
    <row r="67" ht="14.25" customHeight="1" s="140"/>
    <row r="68" ht="14.25" customHeight="1" s="140"/>
    <row r="69" ht="14.25" customHeight="1" s="140"/>
    <row r="70" ht="14.25" customHeight="1" s="140"/>
    <row r="71" ht="14.25" customHeight="1" s="140"/>
    <row r="72" ht="14.25" customHeight="1" s="140"/>
    <row r="73" ht="14.25" customHeight="1" s="140"/>
    <row r="74" ht="14.25" customHeight="1" s="140"/>
    <row r="75" ht="14.25" customHeight="1" s="140"/>
    <row r="76" ht="14.25" customHeight="1" s="140"/>
    <row r="77" ht="14.25" customHeight="1" s="140"/>
    <row r="78" ht="14.25" customHeight="1" s="140"/>
    <row r="79" ht="14.25" customHeight="1" s="140"/>
    <row r="80" ht="14.25" customHeight="1" s="140"/>
    <row r="81" ht="14.25" customHeight="1" s="140"/>
    <row r="82" ht="14.25" customHeight="1" s="140"/>
    <row r="83" ht="14.25" customHeight="1" s="140"/>
    <row r="84" ht="14.25" customHeight="1" s="140"/>
    <row r="85" ht="14.25" customHeight="1" s="140"/>
    <row r="86" ht="14.25" customHeight="1" s="140"/>
    <row r="87" ht="14.25" customHeight="1" s="140"/>
    <row r="88" ht="14.25" customHeight="1" s="140"/>
    <row r="89" ht="14.25" customHeight="1" s="140"/>
    <row r="90" ht="14.25" customHeight="1" s="140"/>
    <row r="91" ht="14.25" customHeight="1" s="140"/>
    <row r="92" ht="14.25" customHeight="1" s="140"/>
    <row r="93" ht="14.25" customHeight="1" s="140"/>
    <row r="94" ht="14.25" customHeight="1" s="140"/>
    <row r="95" ht="14.25" customHeight="1" s="140"/>
    <row r="96" ht="14.25" customHeight="1" s="140"/>
    <row r="97" ht="14.25" customHeight="1" s="140"/>
    <row r="98" ht="14.25" customHeight="1" s="140"/>
    <row r="99" ht="14.25" customHeight="1" s="140"/>
    <row r="100" ht="14.25" customHeight="1" s="140"/>
    <row r="101" ht="14.25" customHeight="1" s="140"/>
    <row r="102" ht="14.25" customHeight="1" s="140"/>
    <row r="103" ht="14.25" customHeight="1" s="140"/>
    <row r="104" ht="14.25" customHeight="1" s="140"/>
    <row r="105" ht="14.25" customHeight="1" s="140"/>
    <row r="106" ht="14.25" customHeight="1" s="140"/>
    <row r="107" ht="14.25" customHeight="1" s="140"/>
    <row r="108" ht="14.25" customHeight="1" s="140"/>
    <row r="109" ht="14.25" customHeight="1" s="140"/>
    <row r="110" ht="14.25" customHeight="1" s="140"/>
    <row r="111" ht="14.25" customHeight="1" s="140"/>
    <row r="112" ht="14.25" customHeight="1" s="140"/>
    <row r="113" ht="14.25" customHeight="1" s="140"/>
    <row r="114" ht="14.25" customHeight="1" s="140"/>
    <row r="115" ht="14.25" customHeight="1" s="140"/>
    <row r="116" ht="14.25" customHeight="1" s="140"/>
    <row r="117" ht="14.25" customHeight="1" s="140"/>
    <row r="118" ht="14.25" customHeight="1" s="140"/>
    <row r="119" ht="14.25" customHeight="1" s="140"/>
    <row r="120" ht="14.25" customHeight="1" s="140"/>
    <row r="121" ht="14.25" customHeight="1" s="140"/>
    <row r="122" ht="14.25" customHeight="1" s="140"/>
    <row r="123" ht="14.25" customHeight="1" s="140"/>
    <row r="124" ht="14.25" customHeight="1" s="140"/>
    <row r="125" ht="14.25" customHeight="1" s="140"/>
    <row r="126" ht="14.25" customHeight="1" s="140"/>
    <row r="127" ht="14.25" customHeight="1" s="140"/>
    <row r="128" ht="14.25" customHeight="1" s="140"/>
    <row r="129" ht="14.25" customHeight="1" s="140"/>
    <row r="130" ht="14.25" customHeight="1" s="140"/>
    <row r="131" ht="14.25" customHeight="1" s="140"/>
    <row r="132" ht="14.25" customHeight="1" s="140"/>
    <row r="133" ht="14.25" customHeight="1" s="140"/>
    <row r="134" ht="14.25" customHeight="1" s="140"/>
    <row r="135" ht="14.25" customHeight="1" s="140"/>
    <row r="136" ht="14.25" customHeight="1" s="140"/>
    <row r="137" ht="14.25" customHeight="1" s="140"/>
    <row r="138" ht="14.25" customHeight="1" s="140"/>
    <row r="139" ht="14.25" customHeight="1" s="140"/>
    <row r="140" ht="14.25" customHeight="1" s="140"/>
    <row r="141" ht="14.25" customHeight="1" s="140"/>
    <row r="142" ht="14.25" customHeight="1" s="140"/>
    <row r="143" ht="14.25" customHeight="1" s="140"/>
    <row r="144" ht="14.25" customHeight="1" s="140"/>
    <row r="145" ht="14.25" customHeight="1" s="140"/>
    <row r="146" ht="14.25" customHeight="1" s="140"/>
    <row r="147" ht="14.25" customHeight="1" s="140"/>
    <row r="148" ht="14.25" customHeight="1" s="140"/>
    <row r="149" ht="14.25" customHeight="1" s="140"/>
    <row r="150" ht="14.25" customHeight="1" s="140"/>
    <row r="151" ht="14.25" customHeight="1" s="140"/>
    <row r="152" ht="14.25" customHeight="1" s="140"/>
    <row r="153" ht="14.25" customHeight="1" s="140"/>
    <row r="154" ht="14.25" customHeight="1" s="140"/>
    <row r="155" ht="14.25" customHeight="1" s="140"/>
    <row r="156" ht="14.25" customHeight="1" s="140"/>
    <row r="157" ht="14.25" customHeight="1" s="140"/>
    <row r="158" ht="14.25" customHeight="1" s="140"/>
    <row r="159" ht="14.25" customHeight="1" s="140"/>
    <row r="160" ht="14.25" customHeight="1" s="140"/>
    <row r="161" ht="14.25" customHeight="1" s="140"/>
    <row r="162" ht="14.25" customHeight="1" s="140"/>
    <row r="163" ht="14.25" customHeight="1" s="140"/>
    <row r="164" ht="14.25" customHeight="1" s="140"/>
    <row r="165" ht="14.25" customHeight="1" s="140"/>
    <row r="166" ht="14.25" customHeight="1" s="140"/>
    <row r="167" ht="14.25" customHeight="1" s="140"/>
    <row r="168" ht="14.25" customHeight="1" s="140"/>
    <row r="169" ht="14.25" customHeight="1" s="140"/>
    <row r="170" ht="14.25" customHeight="1" s="140"/>
    <row r="171" ht="14.25" customHeight="1" s="140"/>
    <row r="172" ht="14.25" customHeight="1" s="140"/>
    <row r="173" ht="14.25" customHeight="1" s="140"/>
    <row r="174" ht="14.25" customHeight="1" s="140"/>
    <row r="175" ht="14.25" customHeight="1" s="140"/>
    <row r="176" ht="14.25" customHeight="1" s="140"/>
    <row r="177" ht="14.25" customHeight="1" s="140"/>
    <row r="178" ht="14.25" customHeight="1" s="140"/>
    <row r="179" ht="14.25" customHeight="1" s="140"/>
    <row r="180" ht="14.25" customHeight="1" s="140"/>
    <row r="181" ht="14.25" customHeight="1" s="140"/>
    <row r="182" ht="14.25" customHeight="1" s="140"/>
    <row r="183" ht="14.25" customHeight="1" s="140"/>
    <row r="184" ht="14.25" customHeight="1" s="140"/>
    <row r="185" ht="14.25" customHeight="1" s="140"/>
    <row r="186" ht="14.25" customHeight="1" s="140"/>
    <row r="187" ht="14.25" customHeight="1" s="140"/>
    <row r="188" ht="14.25" customHeight="1" s="140"/>
    <row r="189" ht="14.25" customHeight="1" s="140"/>
    <row r="190" ht="14.25" customHeight="1" s="140"/>
    <row r="191" ht="14.25" customHeight="1" s="140"/>
    <row r="192" ht="14.25" customHeight="1" s="140"/>
    <row r="193" ht="14.25" customHeight="1" s="140"/>
    <row r="194" ht="14.25" customHeight="1" s="140"/>
    <row r="195" ht="14.25" customHeight="1" s="140"/>
    <row r="196" ht="14.25" customHeight="1" s="140"/>
    <row r="197" ht="14.25" customHeight="1" s="140"/>
    <row r="198" ht="14.25" customHeight="1" s="140"/>
    <row r="199" ht="14.25" customHeight="1" s="140"/>
    <row r="200" ht="14.25" customHeight="1" s="140"/>
    <row r="201" ht="14.25" customHeight="1" s="140"/>
    <row r="202" ht="14.25" customHeight="1" s="140"/>
    <row r="203" ht="14.25" customHeight="1" s="140"/>
    <row r="204" ht="14.25" customHeight="1" s="140"/>
    <row r="205" ht="14.25" customHeight="1" s="140"/>
    <row r="206" ht="14.25" customHeight="1" s="140"/>
    <row r="207" ht="14.25" customHeight="1" s="140"/>
    <row r="208" ht="14.25" customHeight="1" s="140"/>
    <row r="209" ht="14.25" customHeight="1" s="140"/>
    <row r="210" ht="14.25" customHeight="1" s="140"/>
    <row r="211" ht="14.25" customHeight="1" s="140"/>
    <row r="212" ht="14.25" customHeight="1" s="140"/>
    <row r="213" ht="14.25" customHeight="1" s="140"/>
    <row r="214" ht="14.25" customHeight="1" s="140"/>
    <row r="215" ht="14.25" customHeight="1" s="140"/>
    <row r="216" ht="14.25" customHeight="1" s="140"/>
    <row r="217" ht="14.25" customHeight="1" s="140"/>
    <row r="218" ht="14.25" customHeight="1" s="140"/>
    <row r="219" ht="14.25" customHeight="1" s="140"/>
    <row r="220" ht="14.25" customHeight="1" s="140"/>
    <row r="221" ht="14.25" customHeight="1" s="140"/>
    <row r="222" ht="14.25" customHeight="1" s="140"/>
    <row r="223" ht="14.25" customHeight="1" s="140"/>
    <row r="224" ht="14.25" customHeight="1" s="140"/>
    <row r="225" ht="14.25" customHeight="1" s="140"/>
    <row r="226" ht="14.25" customHeight="1" s="140"/>
    <row r="227" ht="14.25" customHeight="1" s="140"/>
    <row r="228" ht="14.25" customHeight="1" s="140"/>
    <row r="229" ht="14.25" customHeight="1" s="140"/>
    <row r="230" ht="14.25" customHeight="1" s="140"/>
    <row r="231" ht="14.25" customHeight="1" s="140"/>
    <row r="232" ht="14.25" customHeight="1" s="140"/>
    <row r="233" ht="14.25" customHeight="1" s="140"/>
    <row r="234" ht="14.25" customHeight="1" s="140"/>
    <row r="235" ht="14.25" customHeight="1" s="140"/>
    <row r="236" ht="14.25" customHeight="1" s="140"/>
    <row r="237" ht="14.25" customHeight="1" s="140"/>
    <row r="238" ht="14.25" customHeight="1" s="140"/>
    <row r="239" ht="14.25" customHeight="1" s="140"/>
    <row r="240" ht="14.25" customHeight="1" s="140"/>
    <row r="241" ht="14.25" customHeight="1" s="140"/>
    <row r="242" ht="14.25" customHeight="1" s="140"/>
    <row r="243" ht="14.25" customHeight="1" s="140"/>
    <row r="244" ht="14.25" customHeight="1" s="140"/>
    <row r="245" ht="14.25" customHeight="1" s="140"/>
    <row r="246" ht="14.25" customHeight="1" s="140"/>
    <row r="247" ht="14.25" customHeight="1" s="140"/>
    <row r="248" ht="14.25" customHeight="1" s="140"/>
    <row r="249" ht="14.25" customHeight="1" s="140"/>
    <row r="250" ht="14.25" customHeight="1" s="140"/>
    <row r="251" ht="14.25" customHeight="1" s="140"/>
    <row r="252" ht="14.25" customHeight="1" s="140"/>
    <row r="253" ht="14.25" customHeight="1" s="140"/>
    <row r="254" ht="14.25" customHeight="1" s="140"/>
    <row r="255" ht="14.25" customHeight="1" s="140"/>
    <row r="256" ht="14.25" customHeight="1" s="140"/>
    <row r="257" ht="14.25" customHeight="1" s="140"/>
    <row r="258" ht="14.25" customHeight="1" s="140"/>
    <row r="259" ht="14.25" customHeight="1" s="140"/>
    <row r="260" ht="14.25" customHeight="1" s="140"/>
    <row r="261" ht="14.25" customHeight="1" s="140"/>
    <row r="262" ht="14.25" customHeight="1" s="140"/>
    <row r="263" ht="14.25" customHeight="1" s="140"/>
    <row r="264" ht="14.25" customHeight="1" s="140"/>
    <row r="265" ht="14.25" customHeight="1" s="140"/>
    <row r="266" ht="14.25" customHeight="1" s="140"/>
    <row r="267" ht="14.25" customHeight="1" s="140"/>
    <row r="268" ht="14.25" customHeight="1" s="140"/>
    <row r="269" ht="14.25" customHeight="1" s="140"/>
    <row r="270" ht="14.25" customHeight="1" s="140"/>
    <row r="271" ht="14.25" customHeight="1" s="140"/>
    <row r="272" ht="14.25" customHeight="1" s="140"/>
    <row r="273" ht="14.25" customHeight="1" s="140"/>
    <row r="274" ht="14.25" customHeight="1" s="140"/>
    <row r="275" ht="14.25" customHeight="1" s="140"/>
    <row r="276" ht="14.25" customHeight="1" s="140"/>
    <row r="277" ht="14.25" customHeight="1" s="140"/>
    <row r="278" ht="14.25" customHeight="1" s="140"/>
    <row r="279" ht="14.25" customHeight="1" s="140"/>
    <row r="280" ht="14.25" customHeight="1" s="140"/>
    <row r="281" ht="14.25" customHeight="1" s="140"/>
    <row r="282" ht="14.25" customHeight="1" s="140"/>
    <row r="283" ht="14.25" customHeight="1" s="140"/>
    <row r="284" ht="14.25" customHeight="1" s="140"/>
    <row r="285" ht="14.25" customHeight="1" s="140"/>
    <row r="286" ht="14.25" customHeight="1" s="140"/>
    <row r="287" ht="14.25" customHeight="1" s="140"/>
    <row r="288" ht="14.25" customHeight="1" s="140"/>
    <row r="289" ht="14.25" customHeight="1" s="140"/>
    <row r="290" ht="14.25" customHeight="1" s="140"/>
    <row r="291" ht="14.25" customHeight="1" s="140"/>
    <row r="292" ht="14.25" customHeight="1" s="140"/>
    <row r="293" ht="14.25" customHeight="1" s="140"/>
    <row r="294" ht="14.25" customHeight="1" s="140"/>
    <row r="295" ht="14.25" customHeight="1" s="140"/>
    <row r="296" ht="14.25" customHeight="1" s="140"/>
    <row r="297" ht="14.25" customHeight="1" s="140"/>
    <row r="298" ht="14.25" customHeight="1" s="140"/>
    <row r="299" ht="14.25" customHeight="1" s="140"/>
    <row r="300" ht="14.25" customHeight="1" s="140"/>
    <row r="301" ht="14.25" customHeight="1" s="140"/>
    <row r="302" ht="14.25" customHeight="1" s="140"/>
    <row r="303" ht="14.25" customHeight="1" s="140"/>
    <row r="304" ht="14.25" customHeight="1" s="140"/>
    <row r="305" ht="14.25" customHeight="1" s="140"/>
    <row r="306" ht="14.25" customHeight="1" s="140"/>
    <row r="307" ht="14.25" customHeight="1" s="140"/>
    <row r="308" ht="14.25" customHeight="1" s="140"/>
    <row r="309" ht="14.25" customHeight="1" s="140"/>
    <row r="310" ht="14.25" customHeight="1" s="140"/>
    <row r="311" ht="14.25" customHeight="1" s="140"/>
    <row r="312" ht="14.25" customHeight="1" s="140"/>
    <row r="313" ht="14.25" customHeight="1" s="140"/>
    <row r="314" ht="14.25" customHeight="1" s="140"/>
    <row r="315" ht="14.25" customHeight="1" s="140"/>
    <row r="316" ht="14.25" customHeight="1" s="140"/>
    <row r="317" ht="14.25" customHeight="1" s="140"/>
    <row r="318" ht="14.25" customHeight="1" s="140"/>
    <row r="319" ht="14.25" customHeight="1" s="140"/>
    <row r="320" ht="14.25" customHeight="1" s="140"/>
    <row r="321" ht="14.25" customHeight="1" s="140"/>
    <row r="322" ht="14.25" customHeight="1" s="140"/>
    <row r="323" ht="14.25" customHeight="1" s="140"/>
    <row r="324" ht="14.25" customHeight="1" s="140"/>
    <row r="325" ht="14.25" customHeight="1" s="140"/>
    <row r="326" ht="14.25" customHeight="1" s="140"/>
    <row r="327" ht="14.25" customHeight="1" s="140"/>
    <row r="328" ht="14.25" customHeight="1" s="140"/>
    <row r="329" ht="14.25" customHeight="1" s="140"/>
    <row r="330" ht="14.25" customHeight="1" s="140"/>
    <row r="331" ht="14.25" customHeight="1" s="140"/>
    <row r="332" ht="14.25" customHeight="1" s="140"/>
    <row r="333" ht="14.25" customHeight="1" s="140"/>
    <row r="334" ht="14.25" customHeight="1" s="140"/>
    <row r="335" ht="14.25" customHeight="1" s="140"/>
    <row r="336" ht="14.25" customHeight="1" s="140"/>
    <row r="337" ht="14.25" customHeight="1" s="140"/>
    <row r="338" ht="14.25" customHeight="1" s="140"/>
    <row r="339" ht="14.25" customHeight="1" s="140"/>
    <row r="340" ht="14.25" customHeight="1" s="140"/>
    <row r="341" ht="14.25" customHeight="1" s="140"/>
    <row r="342" ht="14.25" customHeight="1" s="140"/>
    <row r="343" ht="14.25" customHeight="1" s="140"/>
    <row r="344" ht="14.25" customHeight="1" s="140"/>
    <row r="345" ht="14.25" customHeight="1" s="140"/>
    <row r="346" ht="14.25" customHeight="1" s="140"/>
    <row r="347" ht="14.25" customHeight="1" s="140"/>
    <row r="348" ht="14.25" customHeight="1" s="140"/>
    <row r="349" ht="14.25" customHeight="1" s="140"/>
    <row r="350" ht="14.25" customHeight="1" s="140"/>
    <row r="351" ht="14.25" customHeight="1" s="140"/>
    <row r="352" ht="14.25" customHeight="1" s="140"/>
    <row r="353" ht="14.25" customHeight="1" s="140"/>
    <row r="354" ht="14.25" customHeight="1" s="140"/>
    <row r="355" ht="14.25" customHeight="1" s="140"/>
    <row r="356" ht="14.25" customHeight="1" s="140"/>
    <row r="357" ht="14.25" customHeight="1" s="140"/>
    <row r="358" ht="14.25" customHeight="1" s="140"/>
    <row r="359" ht="14.25" customHeight="1" s="140"/>
    <row r="360" ht="14.25" customHeight="1" s="140"/>
    <row r="361" ht="14.25" customHeight="1" s="140"/>
    <row r="362" ht="14.25" customHeight="1" s="140"/>
    <row r="363" ht="14.25" customHeight="1" s="140"/>
    <row r="364" ht="14.25" customHeight="1" s="140"/>
    <row r="365" ht="14.25" customHeight="1" s="140"/>
    <row r="366" ht="14.25" customHeight="1" s="140"/>
    <row r="367" ht="14.25" customHeight="1" s="140"/>
    <row r="368" ht="14.25" customHeight="1" s="140"/>
    <row r="369" ht="14.25" customHeight="1" s="140"/>
    <row r="370" ht="14.25" customHeight="1" s="140"/>
    <row r="371" ht="14.25" customHeight="1" s="140"/>
    <row r="372" ht="14.25" customHeight="1" s="140"/>
    <row r="373" ht="14.25" customHeight="1" s="140"/>
    <row r="374" ht="14.25" customHeight="1" s="140"/>
    <row r="375" ht="14.25" customHeight="1" s="140"/>
    <row r="376" ht="14.25" customHeight="1" s="140"/>
    <row r="377" ht="14.25" customHeight="1" s="140"/>
    <row r="378" ht="14.25" customHeight="1" s="140"/>
    <row r="379" ht="14.25" customHeight="1" s="140"/>
    <row r="380" ht="14.25" customHeight="1" s="140"/>
    <row r="381" ht="14.25" customHeight="1" s="140"/>
    <row r="382" ht="14.25" customHeight="1" s="140"/>
    <row r="383" ht="14.25" customHeight="1" s="140"/>
    <row r="384" ht="14.25" customHeight="1" s="140"/>
    <row r="385" ht="14.25" customHeight="1" s="140"/>
    <row r="386" ht="14.25" customHeight="1" s="140"/>
    <row r="387" ht="14.25" customHeight="1" s="140"/>
    <row r="388" ht="14.25" customHeight="1" s="140"/>
    <row r="389" ht="14.25" customHeight="1" s="140"/>
    <row r="390" ht="14.25" customHeight="1" s="140"/>
    <row r="391" ht="14.25" customHeight="1" s="140"/>
    <row r="392" ht="14.25" customHeight="1" s="140"/>
    <row r="393" ht="14.25" customHeight="1" s="140"/>
    <row r="394" ht="14.25" customHeight="1" s="140"/>
    <row r="395" ht="14.25" customHeight="1" s="140"/>
    <row r="396" ht="14.25" customHeight="1" s="140"/>
    <row r="397" ht="14.25" customHeight="1" s="140"/>
    <row r="398" ht="14.25" customHeight="1" s="140"/>
    <row r="399" ht="14.25" customHeight="1" s="140"/>
    <row r="400" ht="14.25" customHeight="1" s="140"/>
    <row r="401" ht="14.25" customHeight="1" s="140"/>
    <row r="402" ht="14.25" customHeight="1" s="140"/>
    <row r="403" ht="14.25" customHeight="1" s="140"/>
    <row r="404" ht="14.25" customHeight="1" s="140"/>
    <row r="405" ht="14.25" customHeight="1" s="140"/>
    <row r="406" ht="14.25" customHeight="1" s="140"/>
    <row r="407" ht="14.25" customHeight="1" s="140"/>
    <row r="408" ht="14.25" customHeight="1" s="140"/>
    <row r="409" ht="14.25" customHeight="1" s="140"/>
    <row r="410" ht="14.25" customHeight="1" s="140"/>
    <row r="411" ht="14.25" customHeight="1" s="140"/>
    <row r="412" ht="14.25" customHeight="1" s="140"/>
    <row r="413" ht="14.25" customHeight="1" s="140"/>
    <row r="414" ht="14.25" customHeight="1" s="140"/>
    <row r="415" ht="14.25" customHeight="1" s="140"/>
    <row r="416" ht="14.25" customHeight="1" s="140"/>
    <row r="417" ht="14.25" customHeight="1" s="140"/>
    <row r="418" ht="14.25" customHeight="1" s="140"/>
    <row r="419" ht="14.25" customHeight="1" s="140"/>
    <row r="420" ht="14.25" customHeight="1" s="140"/>
    <row r="421" ht="14.25" customHeight="1" s="140"/>
    <row r="422" ht="14.25" customHeight="1" s="140"/>
    <row r="423" ht="14.25" customHeight="1" s="140"/>
    <row r="424" ht="14.25" customHeight="1" s="140"/>
    <row r="425" ht="14.25" customHeight="1" s="140"/>
    <row r="426" ht="14.25" customHeight="1" s="140"/>
    <row r="427" ht="14.25" customHeight="1" s="140"/>
    <row r="428" ht="14.25" customHeight="1" s="140"/>
    <row r="429" ht="14.25" customHeight="1" s="140"/>
    <row r="430" ht="14.25" customHeight="1" s="140"/>
    <row r="431" ht="14.25" customHeight="1" s="140"/>
    <row r="432" ht="14.25" customHeight="1" s="140"/>
    <row r="433" ht="14.25" customHeight="1" s="140"/>
    <row r="434" ht="14.25" customHeight="1" s="140"/>
    <row r="435" ht="14.25" customHeight="1" s="140"/>
    <row r="436" ht="14.25" customHeight="1" s="140"/>
    <row r="437" ht="14.25" customHeight="1" s="140"/>
    <row r="438" ht="14.25" customHeight="1" s="140"/>
    <row r="439" ht="14.25" customHeight="1" s="140"/>
    <row r="440" ht="14.25" customHeight="1" s="140"/>
    <row r="441" ht="14.25" customHeight="1" s="140"/>
    <row r="442" ht="14.25" customHeight="1" s="140"/>
    <row r="443" ht="14.25" customHeight="1" s="140"/>
    <row r="444" ht="14.25" customHeight="1" s="140"/>
    <row r="445" ht="14.25" customHeight="1" s="140"/>
    <row r="446" ht="14.25" customHeight="1" s="140"/>
    <row r="447" ht="14.25" customHeight="1" s="140"/>
    <row r="448" ht="14.25" customHeight="1" s="140"/>
    <row r="449" ht="14.25" customHeight="1" s="140"/>
    <row r="450" ht="14.25" customHeight="1" s="140"/>
    <row r="451" ht="14.25" customHeight="1" s="140"/>
    <row r="452" ht="14.25" customHeight="1" s="140"/>
    <row r="453" ht="14.25" customHeight="1" s="140"/>
    <row r="454" ht="14.25" customHeight="1" s="140"/>
    <row r="455" ht="14.25" customHeight="1" s="140"/>
    <row r="456" ht="14.25" customHeight="1" s="140"/>
    <row r="457" ht="14.25" customHeight="1" s="140"/>
    <row r="458" ht="14.25" customHeight="1" s="140"/>
    <row r="459" ht="14.25" customHeight="1" s="140"/>
    <row r="460" ht="14.25" customHeight="1" s="140"/>
    <row r="461" ht="14.25" customHeight="1" s="140"/>
    <row r="462" ht="14.25" customHeight="1" s="140"/>
    <row r="463" ht="14.25" customHeight="1" s="140"/>
    <row r="464" ht="14.25" customHeight="1" s="140"/>
    <row r="465" ht="14.25" customHeight="1" s="140"/>
    <row r="466" ht="14.25" customHeight="1" s="140"/>
    <row r="467" ht="14.25" customHeight="1" s="140"/>
    <row r="468" ht="14.25" customHeight="1" s="140"/>
    <row r="469" ht="14.25" customHeight="1" s="140"/>
    <row r="470" ht="14.25" customHeight="1" s="140"/>
    <row r="471" ht="14.25" customHeight="1" s="140"/>
    <row r="472" ht="14.25" customHeight="1" s="140"/>
    <row r="473" ht="14.25" customHeight="1" s="140"/>
    <row r="474" ht="14.25" customHeight="1" s="140"/>
    <row r="475" ht="14.25" customHeight="1" s="140"/>
    <row r="476" ht="14.25" customHeight="1" s="140"/>
    <row r="477" ht="14.25" customHeight="1" s="140"/>
    <row r="478" ht="14.25" customHeight="1" s="140"/>
    <row r="479" ht="14.25" customHeight="1" s="140"/>
    <row r="480" ht="14.25" customHeight="1" s="140"/>
    <row r="481" ht="14.25" customHeight="1" s="140"/>
    <row r="482" ht="14.25" customHeight="1" s="140"/>
    <row r="483" ht="14.25" customHeight="1" s="140"/>
    <row r="484" ht="14.25" customHeight="1" s="140"/>
    <row r="485" ht="14.25" customHeight="1" s="140"/>
    <row r="486" ht="14.25" customHeight="1" s="140"/>
    <row r="487" ht="14.25" customHeight="1" s="140"/>
    <row r="488" ht="14.25" customHeight="1" s="140"/>
    <row r="489" ht="14.25" customHeight="1" s="140"/>
    <row r="490" ht="14.25" customHeight="1" s="140"/>
    <row r="491" ht="14.25" customHeight="1" s="140"/>
    <row r="492" ht="14.25" customHeight="1" s="140"/>
    <row r="493" ht="14.25" customHeight="1" s="140"/>
    <row r="494" ht="14.25" customHeight="1" s="140"/>
    <row r="495" ht="14.25" customHeight="1" s="140"/>
    <row r="496" ht="14.25" customHeight="1" s="140"/>
    <row r="497" ht="14.25" customHeight="1" s="140"/>
    <row r="498" ht="14.25" customHeight="1" s="140"/>
    <row r="499" ht="14.25" customHeight="1" s="140"/>
    <row r="500" ht="14.25" customHeight="1" s="140"/>
    <row r="501" ht="14.25" customHeight="1" s="140"/>
    <row r="502" ht="14.25" customHeight="1" s="140"/>
    <row r="503" ht="14.25" customHeight="1" s="140"/>
    <row r="504" ht="14.25" customHeight="1" s="140"/>
    <row r="505" ht="14.25" customHeight="1" s="140"/>
    <row r="506" ht="14.25" customHeight="1" s="140"/>
    <row r="507" ht="14.25" customHeight="1" s="140"/>
    <row r="508" ht="14.25" customHeight="1" s="140"/>
    <row r="509" ht="14.25" customHeight="1" s="140"/>
    <row r="510" ht="14.25" customHeight="1" s="140"/>
    <row r="511" ht="14.25" customHeight="1" s="140"/>
    <row r="512" ht="14.25" customHeight="1" s="140"/>
    <row r="513" ht="14.25" customHeight="1" s="140"/>
    <row r="514" ht="14.25" customHeight="1" s="140"/>
    <row r="515" ht="14.25" customHeight="1" s="140"/>
    <row r="516" ht="14.25" customHeight="1" s="140"/>
    <row r="517" ht="14.25" customHeight="1" s="140"/>
    <row r="518" ht="14.25" customHeight="1" s="140"/>
    <row r="519" ht="14.25" customHeight="1" s="140"/>
    <row r="520" ht="14.25" customHeight="1" s="140"/>
    <row r="521" ht="14.25" customHeight="1" s="140"/>
    <row r="522" ht="14.25" customHeight="1" s="140"/>
    <row r="523" ht="14.25" customHeight="1" s="140"/>
    <row r="524" ht="14.25" customHeight="1" s="140"/>
    <row r="525" ht="14.25" customHeight="1" s="140"/>
    <row r="526" ht="14.25" customHeight="1" s="140"/>
    <row r="527" ht="14.25" customHeight="1" s="140"/>
    <row r="528" ht="14.25" customHeight="1" s="140"/>
    <row r="529" ht="14.25" customHeight="1" s="140"/>
    <row r="530" ht="14.25" customHeight="1" s="140"/>
    <row r="531" ht="14.25" customHeight="1" s="140"/>
    <row r="532" ht="14.25" customHeight="1" s="140"/>
    <row r="533" ht="14.25" customHeight="1" s="140"/>
    <row r="534" ht="14.25" customHeight="1" s="140"/>
    <row r="535" ht="14.25" customHeight="1" s="140"/>
    <row r="536" ht="14.25" customHeight="1" s="140"/>
    <row r="537" ht="14.25" customHeight="1" s="140"/>
    <row r="538" ht="14.25" customHeight="1" s="140"/>
    <row r="539" ht="14.25" customHeight="1" s="140"/>
    <row r="540" ht="14.25" customHeight="1" s="140"/>
    <row r="541" ht="14.25" customHeight="1" s="140"/>
    <row r="542" ht="14.25" customHeight="1" s="140"/>
    <row r="543" ht="14.25" customHeight="1" s="140"/>
    <row r="544" ht="14.25" customHeight="1" s="140"/>
    <row r="545" ht="14.25" customHeight="1" s="140"/>
    <row r="546" ht="14.25" customHeight="1" s="140"/>
    <row r="547" ht="14.25" customHeight="1" s="140"/>
    <row r="548" ht="14.25" customHeight="1" s="140"/>
    <row r="549" ht="14.25" customHeight="1" s="140"/>
    <row r="550" ht="14.25" customHeight="1" s="140"/>
    <row r="551" ht="14.25" customHeight="1" s="140"/>
    <row r="552" ht="14.25" customHeight="1" s="140"/>
    <row r="553" ht="14.25" customHeight="1" s="140"/>
    <row r="554" ht="14.25" customHeight="1" s="140"/>
    <row r="555" ht="14.25" customHeight="1" s="140"/>
    <row r="556" ht="14.25" customHeight="1" s="140"/>
    <row r="557" ht="14.25" customHeight="1" s="140"/>
    <row r="558" ht="14.25" customHeight="1" s="140"/>
    <row r="559" ht="14.25" customHeight="1" s="140"/>
    <row r="560" ht="14.25" customHeight="1" s="140"/>
    <row r="561" ht="14.25" customHeight="1" s="140"/>
    <row r="562" ht="14.25" customHeight="1" s="140"/>
    <row r="563" ht="14.25" customHeight="1" s="140"/>
    <row r="564" ht="14.25" customHeight="1" s="140"/>
    <row r="565" ht="14.25" customHeight="1" s="140"/>
    <row r="566" ht="14.25" customHeight="1" s="140"/>
    <row r="567" ht="14.25" customHeight="1" s="140"/>
    <row r="568" ht="14.25" customHeight="1" s="140"/>
    <row r="569" ht="14.25" customHeight="1" s="140"/>
    <row r="570" ht="14.25" customHeight="1" s="140"/>
    <row r="571" ht="14.25" customHeight="1" s="140"/>
    <row r="572" ht="14.25" customHeight="1" s="140"/>
    <row r="573" ht="14.25" customHeight="1" s="140"/>
    <row r="574" ht="14.25" customHeight="1" s="140"/>
    <row r="575" ht="14.25" customHeight="1" s="140"/>
    <row r="576" ht="14.25" customHeight="1" s="140"/>
    <row r="577" ht="14.25" customHeight="1" s="140"/>
    <row r="578" ht="14.25" customHeight="1" s="140"/>
    <row r="579" ht="14.25" customHeight="1" s="140"/>
    <row r="580" ht="14.25" customHeight="1" s="140"/>
    <row r="581" ht="14.25" customHeight="1" s="140"/>
    <row r="582" ht="14.25" customHeight="1" s="140"/>
    <row r="583" ht="14.25" customHeight="1" s="140"/>
    <row r="584" ht="14.25" customHeight="1" s="140"/>
    <row r="585" ht="14.25" customHeight="1" s="140"/>
    <row r="586" ht="14.25" customHeight="1" s="140"/>
    <row r="587" ht="14.25" customHeight="1" s="140"/>
    <row r="588" ht="14.25" customHeight="1" s="140"/>
    <row r="589" ht="14.25" customHeight="1" s="140"/>
    <row r="590" ht="14.25" customHeight="1" s="140"/>
    <row r="591" ht="14.25" customHeight="1" s="140"/>
    <row r="592" ht="14.25" customHeight="1" s="140"/>
    <row r="593" ht="14.25" customHeight="1" s="140"/>
    <row r="594" ht="14.25" customHeight="1" s="140"/>
    <row r="595" ht="14.25" customHeight="1" s="140"/>
    <row r="596" ht="14.25" customHeight="1" s="140"/>
    <row r="597" ht="14.25" customHeight="1" s="140"/>
    <row r="598" ht="14.25" customHeight="1" s="140"/>
    <row r="599" ht="14.25" customHeight="1" s="140"/>
    <row r="600" ht="14.25" customHeight="1" s="140"/>
    <row r="601" ht="14.25" customHeight="1" s="140"/>
    <row r="602" ht="14.25" customHeight="1" s="140"/>
    <row r="603" ht="14.25" customHeight="1" s="140"/>
    <row r="604" ht="14.25" customHeight="1" s="140"/>
    <row r="605" ht="14.25" customHeight="1" s="140"/>
    <row r="606" ht="14.25" customHeight="1" s="140"/>
    <row r="607" ht="14.25" customHeight="1" s="140"/>
    <row r="608" ht="14.25" customHeight="1" s="140"/>
    <row r="609" ht="14.25" customHeight="1" s="140"/>
    <row r="610" ht="14.25" customHeight="1" s="140"/>
    <row r="611" ht="14.25" customHeight="1" s="140"/>
    <row r="612" ht="14.25" customHeight="1" s="140"/>
    <row r="613" ht="14.25" customHeight="1" s="140"/>
    <row r="614" ht="14.25" customHeight="1" s="140"/>
    <row r="615" ht="14.25" customHeight="1" s="140"/>
    <row r="616" ht="14.25" customHeight="1" s="140"/>
    <row r="617" ht="14.25" customHeight="1" s="140"/>
    <row r="618" ht="14.25" customHeight="1" s="140"/>
    <row r="619" ht="14.25" customHeight="1" s="140"/>
    <row r="620" ht="14.25" customHeight="1" s="140"/>
    <row r="621" ht="14.25" customHeight="1" s="140"/>
    <row r="622" ht="14.25" customHeight="1" s="140"/>
    <row r="623" ht="14.25" customHeight="1" s="140"/>
    <row r="624" ht="14.25" customHeight="1" s="140"/>
    <row r="625" ht="14.25" customHeight="1" s="140"/>
    <row r="626" ht="14.25" customHeight="1" s="140"/>
    <row r="627" ht="14.25" customHeight="1" s="140"/>
    <row r="628" ht="14.25" customHeight="1" s="140"/>
    <row r="629" ht="14.25" customHeight="1" s="140"/>
    <row r="630" ht="14.25" customHeight="1" s="140"/>
    <row r="631" ht="14.25" customHeight="1" s="140"/>
    <row r="632" ht="14.25" customHeight="1" s="140"/>
    <row r="633" ht="14.25" customHeight="1" s="140"/>
    <row r="634" ht="14.25" customHeight="1" s="140"/>
    <row r="635" ht="14.25" customHeight="1" s="140"/>
    <row r="636" ht="14.25" customHeight="1" s="140"/>
    <row r="637" ht="14.25" customHeight="1" s="140"/>
    <row r="638" ht="14.25" customHeight="1" s="140"/>
    <row r="639" ht="14.25" customHeight="1" s="140"/>
    <row r="640" ht="14.25" customHeight="1" s="140"/>
    <row r="641" ht="14.25" customHeight="1" s="140"/>
    <row r="642" ht="14.25" customHeight="1" s="140"/>
    <row r="643" ht="14.25" customHeight="1" s="140"/>
    <row r="644" ht="14.25" customHeight="1" s="140"/>
    <row r="645" ht="14.25" customHeight="1" s="140"/>
    <row r="646" ht="14.25" customHeight="1" s="140"/>
    <row r="647" ht="14.25" customHeight="1" s="140"/>
    <row r="648" ht="14.25" customHeight="1" s="140"/>
    <row r="649" ht="14.25" customHeight="1" s="140"/>
    <row r="650" ht="14.25" customHeight="1" s="140"/>
    <row r="651" ht="14.25" customHeight="1" s="140"/>
    <row r="652" ht="14.25" customHeight="1" s="140"/>
    <row r="653" ht="14.25" customHeight="1" s="140"/>
    <row r="654" ht="14.25" customHeight="1" s="140"/>
    <row r="655" ht="14.25" customHeight="1" s="140"/>
    <row r="656" ht="14.25" customHeight="1" s="140"/>
    <row r="657" ht="14.25" customHeight="1" s="140"/>
    <row r="658" ht="14.25" customHeight="1" s="140"/>
    <row r="659" ht="14.25" customHeight="1" s="140"/>
    <row r="660" ht="14.25" customHeight="1" s="140"/>
    <row r="661" ht="14.25" customHeight="1" s="140"/>
    <row r="662" ht="14.25" customHeight="1" s="140"/>
    <row r="663" ht="14.25" customHeight="1" s="140"/>
    <row r="664" ht="14.25" customHeight="1" s="140"/>
    <row r="665" ht="14.25" customHeight="1" s="140"/>
    <row r="666" ht="14.25" customHeight="1" s="140"/>
    <row r="667" ht="14.25" customHeight="1" s="140"/>
    <row r="668" ht="14.25" customHeight="1" s="140"/>
    <row r="669" ht="14.25" customHeight="1" s="140"/>
    <row r="670" ht="14.25" customHeight="1" s="140"/>
    <row r="671" ht="14.25" customHeight="1" s="140"/>
    <row r="672" ht="14.25" customHeight="1" s="140"/>
    <row r="673" ht="14.25" customHeight="1" s="140"/>
    <row r="674" ht="14.25" customHeight="1" s="140"/>
    <row r="675" ht="14.25" customHeight="1" s="140"/>
    <row r="676" ht="14.25" customHeight="1" s="140"/>
    <row r="677" ht="14.25" customHeight="1" s="140"/>
    <row r="678" ht="14.25" customHeight="1" s="140"/>
    <row r="679" ht="14.25" customHeight="1" s="140"/>
    <row r="680" ht="14.25" customHeight="1" s="140"/>
    <row r="681" ht="14.25" customHeight="1" s="140"/>
    <row r="682" ht="14.25" customHeight="1" s="140"/>
    <row r="683" ht="14.25" customHeight="1" s="140"/>
    <row r="684" ht="14.25" customHeight="1" s="140"/>
    <row r="685" ht="14.25" customHeight="1" s="140"/>
    <row r="686" ht="14.25" customHeight="1" s="140"/>
    <row r="687" ht="14.25" customHeight="1" s="140"/>
    <row r="688" ht="14.25" customHeight="1" s="140"/>
    <row r="689" ht="14.25" customHeight="1" s="140"/>
    <row r="690" ht="14.25" customHeight="1" s="140"/>
    <row r="691" ht="14.25" customHeight="1" s="140"/>
    <row r="692" ht="14.25" customHeight="1" s="140"/>
    <row r="693" ht="14.25" customHeight="1" s="140"/>
    <row r="694" ht="14.25" customHeight="1" s="140"/>
    <row r="695" ht="14.25" customHeight="1" s="140"/>
    <row r="696" ht="14.25" customHeight="1" s="140"/>
    <row r="697" ht="14.25" customHeight="1" s="140"/>
    <row r="698" ht="14.25" customHeight="1" s="140"/>
    <row r="699" ht="14.25" customHeight="1" s="140"/>
    <row r="700" ht="14.25" customHeight="1" s="140"/>
    <row r="701" ht="14.25" customHeight="1" s="140"/>
    <row r="702" ht="14.25" customHeight="1" s="140"/>
    <row r="703" ht="14.25" customHeight="1" s="140"/>
    <row r="704" ht="14.25" customHeight="1" s="140"/>
    <row r="705" ht="14.25" customHeight="1" s="140"/>
    <row r="706" ht="14.25" customHeight="1" s="140"/>
    <row r="707" ht="14.25" customHeight="1" s="140"/>
    <row r="708" ht="14.25" customHeight="1" s="140"/>
    <row r="709" ht="14.25" customHeight="1" s="140"/>
    <row r="710" ht="14.25" customHeight="1" s="140"/>
    <row r="711" ht="14.25" customHeight="1" s="140"/>
    <row r="712" ht="14.25" customHeight="1" s="140"/>
    <row r="713" ht="14.25" customHeight="1" s="140"/>
    <row r="714" ht="14.25" customHeight="1" s="140"/>
    <row r="715" ht="14.25" customHeight="1" s="140"/>
    <row r="716" ht="14.25" customHeight="1" s="140"/>
    <row r="717" ht="14.25" customHeight="1" s="140"/>
    <row r="718" ht="14.25" customHeight="1" s="140"/>
    <row r="719" ht="14.25" customHeight="1" s="140"/>
    <row r="720" ht="14.25" customHeight="1" s="140"/>
    <row r="721" ht="14.25" customHeight="1" s="140"/>
    <row r="722" ht="14.25" customHeight="1" s="140"/>
    <row r="723" ht="14.25" customHeight="1" s="140"/>
    <row r="724" ht="14.25" customHeight="1" s="140"/>
    <row r="725" ht="14.25" customHeight="1" s="140"/>
    <row r="726" ht="14.25" customHeight="1" s="140"/>
    <row r="727" ht="14.25" customHeight="1" s="140"/>
    <row r="728" ht="14.25" customHeight="1" s="140"/>
    <row r="729" ht="14.25" customHeight="1" s="140"/>
    <row r="730" ht="14.25" customHeight="1" s="140"/>
    <row r="731" ht="14.25" customHeight="1" s="140"/>
    <row r="732" ht="14.25" customHeight="1" s="140"/>
    <row r="733" ht="14.25" customHeight="1" s="140"/>
    <row r="734" ht="14.25" customHeight="1" s="140"/>
    <row r="735" ht="14.25" customHeight="1" s="140"/>
    <row r="736" ht="14.25" customHeight="1" s="140"/>
    <row r="737" ht="14.25" customHeight="1" s="140"/>
    <row r="738" ht="14.25" customHeight="1" s="140"/>
    <row r="739" ht="14.25" customHeight="1" s="140"/>
    <row r="740" ht="14.25" customHeight="1" s="140"/>
    <row r="741" ht="14.25" customHeight="1" s="140"/>
    <row r="742" ht="14.25" customHeight="1" s="140"/>
    <row r="743" ht="14.25" customHeight="1" s="140"/>
    <row r="744" ht="14.25" customHeight="1" s="140"/>
    <row r="745" ht="14.25" customHeight="1" s="140"/>
    <row r="746" ht="14.25" customHeight="1" s="140"/>
    <row r="747" ht="14.25" customHeight="1" s="140"/>
    <row r="748" ht="14.25" customHeight="1" s="140"/>
    <row r="749" ht="14.25" customHeight="1" s="140"/>
    <row r="750" ht="14.25" customHeight="1" s="140"/>
    <row r="751" ht="14.25" customHeight="1" s="140"/>
    <row r="752" ht="14.25" customHeight="1" s="140"/>
    <row r="753" ht="14.25" customHeight="1" s="140"/>
    <row r="754" ht="14.25" customHeight="1" s="140"/>
    <row r="755" ht="14.25" customHeight="1" s="140"/>
    <row r="756" ht="14.25" customHeight="1" s="140"/>
    <row r="757" ht="14.25" customHeight="1" s="140"/>
    <row r="758" ht="14.25" customHeight="1" s="140"/>
    <row r="759" ht="14.25" customHeight="1" s="140"/>
    <row r="760" ht="14.25" customHeight="1" s="140"/>
    <row r="761" ht="14.25" customHeight="1" s="140"/>
    <row r="762" ht="14.25" customHeight="1" s="140"/>
    <row r="763" ht="14.25" customHeight="1" s="140"/>
    <row r="764" ht="14.25" customHeight="1" s="140"/>
    <row r="765" ht="14.25" customHeight="1" s="140"/>
    <row r="766" ht="14.25" customHeight="1" s="140"/>
    <row r="767" ht="14.25" customHeight="1" s="140"/>
    <row r="768" ht="14.25" customHeight="1" s="140"/>
    <row r="769" ht="14.25" customHeight="1" s="140"/>
    <row r="770" ht="14.25" customHeight="1" s="140"/>
    <row r="771" ht="14.25" customHeight="1" s="140"/>
    <row r="772" ht="14.25" customHeight="1" s="140"/>
    <row r="773" ht="14.25" customHeight="1" s="140"/>
    <row r="774" ht="14.25" customHeight="1" s="140"/>
    <row r="775" ht="14.25" customHeight="1" s="140"/>
    <row r="776" ht="14.25" customHeight="1" s="140"/>
    <row r="777" ht="14.25" customHeight="1" s="140"/>
    <row r="778" ht="14.25" customHeight="1" s="140"/>
    <row r="779" ht="14.25" customHeight="1" s="140"/>
    <row r="780" ht="14.25" customHeight="1" s="140"/>
    <row r="781" ht="14.25" customHeight="1" s="140"/>
    <row r="782" ht="14.25" customHeight="1" s="140"/>
    <row r="783" ht="14.25" customHeight="1" s="140"/>
    <row r="784" ht="14.25" customHeight="1" s="140"/>
    <row r="785" ht="14.25" customHeight="1" s="140"/>
    <row r="786" ht="14.25" customHeight="1" s="140"/>
    <row r="787" ht="14.25" customHeight="1" s="140"/>
    <row r="788" ht="14.25" customHeight="1" s="140"/>
    <row r="789" ht="14.25" customHeight="1" s="140"/>
    <row r="790" ht="14.25" customHeight="1" s="140"/>
    <row r="791" ht="14.25" customHeight="1" s="140"/>
    <row r="792" ht="14.25" customHeight="1" s="140"/>
    <row r="793" ht="14.25" customHeight="1" s="140"/>
    <row r="794" ht="14.25" customHeight="1" s="140"/>
    <row r="795" ht="14.25" customHeight="1" s="140"/>
    <row r="796" ht="14.25" customHeight="1" s="140"/>
    <row r="797" ht="14.25" customHeight="1" s="140"/>
    <row r="798" ht="14.25" customHeight="1" s="140"/>
    <row r="799" ht="14.25" customHeight="1" s="140"/>
    <row r="800" ht="14.25" customHeight="1" s="140"/>
    <row r="801" ht="14.25" customHeight="1" s="140"/>
    <row r="802" ht="14.25" customHeight="1" s="140"/>
    <row r="803" ht="14.25" customHeight="1" s="140"/>
    <row r="804" ht="14.25" customHeight="1" s="140"/>
    <row r="805" ht="14.25" customHeight="1" s="140"/>
    <row r="806" ht="14.25" customHeight="1" s="140"/>
    <row r="807" ht="14.25" customHeight="1" s="140"/>
    <row r="808" ht="14.25" customHeight="1" s="140"/>
    <row r="809" ht="14.25" customHeight="1" s="140"/>
    <row r="810" ht="14.25" customHeight="1" s="140"/>
    <row r="811" ht="14.25" customHeight="1" s="140"/>
    <row r="812" ht="14.25" customHeight="1" s="140"/>
    <row r="813" ht="14.25" customHeight="1" s="140"/>
    <row r="814" ht="14.25" customHeight="1" s="140"/>
    <row r="815" ht="14.25" customHeight="1" s="140"/>
    <row r="816" ht="14.25" customHeight="1" s="140"/>
    <row r="817" ht="14.25" customHeight="1" s="140"/>
    <row r="818" ht="14.25" customHeight="1" s="140"/>
    <row r="819" ht="14.25" customHeight="1" s="140"/>
    <row r="820" ht="14.25" customHeight="1" s="140"/>
    <row r="821" ht="14.25" customHeight="1" s="140"/>
    <row r="822" ht="14.25" customHeight="1" s="140"/>
    <row r="823" ht="14.25" customHeight="1" s="140"/>
    <row r="824" ht="14.25" customHeight="1" s="140"/>
    <row r="825" ht="14.25" customHeight="1" s="140"/>
    <row r="826" ht="14.25" customHeight="1" s="140"/>
    <row r="827" ht="14.25" customHeight="1" s="140"/>
    <row r="828" ht="14.25" customHeight="1" s="140"/>
    <row r="829" ht="14.25" customHeight="1" s="140"/>
    <row r="830" ht="14.25" customHeight="1" s="140"/>
    <row r="831" ht="14.25" customHeight="1" s="140"/>
    <row r="832" ht="14.25" customHeight="1" s="140"/>
    <row r="833" ht="14.25" customHeight="1" s="140"/>
    <row r="834" ht="14.25" customHeight="1" s="140"/>
    <row r="835" ht="14.25" customHeight="1" s="140"/>
    <row r="836" ht="14.25" customHeight="1" s="140"/>
    <row r="837" ht="14.25" customHeight="1" s="140"/>
    <row r="838" ht="14.25" customHeight="1" s="140"/>
    <row r="839" ht="14.25" customHeight="1" s="140"/>
    <row r="840" ht="14.25" customHeight="1" s="140"/>
    <row r="841" ht="14.25" customHeight="1" s="140"/>
    <row r="842" ht="14.25" customHeight="1" s="140"/>
    <row r="843" ht="14.25" customHeight="1" s="140"/>
    <row r="844" ht="14.25" customHeight="1" s="140"/>
    <row r="845" ht="14.25" customHeight="1" s="140"/>
    <row r="846" ht="14.25" customHeight="1" s="140"/>
    <row r="847" ht="14.25" customHeight="1" s="140"/>
    <row r="848" ht="14.25" customHeight="1" s="140"/>
    <row r="849" ht="14.25" customHeight="1" s="140"/>
    <row r="850" ht="14.25" customHeight="1" s="140"/>
    <row r="851" ht="14.25" customHeight="1" s="140"/>
    <row r="852" ht="14.25" customHeight="1" s="140"/>
    <row r="853" ht="14.25" customHeight="1" s="140"/>
    <row r="854" ht="14.25" customHeight="1" s="140"/>
    <row r="855" ht="14.25" customHeight="1" s="140"/>
    <row r="856" ht="14.25" customHeight="1" s="140"/>
    <row r="857" ht="14.25" customHeight="1" s="140"/>
    <row r="858" ht="14.25" customHeight="1" s="140"/>
    <row r="859" ht="14.25" customHeight="1" s="140"/>
    <row r="860" ht="14.25" customHeight="1" s="140"/>
    <row r="861" ht="14.25" customHeight="1" s="140"/>
    <row r="862" ht="14.25" customHeight="1" s="140"/>
    <row r="863" ht="14.25" customHeight="1" s="140"/>
    <row r="864" ht="14.25" customHeight="1" s="140"/>
    <row r="865" ht="14.25" customHeight="1" s="140"/>
    <row r="866" ht="14.25" customHeight="1" s="140"/>
    <row r="867" ht="14.25" customHeight="1" s="140"/>
    <row r="868" ht="14.25" customHeight="1" s="140"/>
    <row r="869" ht="14.25" customHeight="1" s="140"/>
    <row r="870" ht="14.25" customHeight="1" s="140"/>
    <row r="871" ht="14.25" customHeight="1" s="140"/>
    <row r="872" ht="14.25" customHeight="1" s="140"/>
    <row r="873" ht="14.25" customHeight="1" s="140"/>
    <row r="874" ht="14.25" customHeight="1" s="140"/>
    <row r="875" ht="14.25" customHeight="1" s="140"/>
    <row r="876" ht="14.25" customHeight="1" s="140"/>
    <row r="877" ht="14.25" customHeight="1" s="140"/>
    <row r="878" ht="14.25" customHeight="1" s="140"/>
    <row r="879" ht="14.25" customHeight="1" s="140"/>
    <row r="880" ht="14.25" customHeight="1" s="140"/>
    <row r="881" ht="14.25" customHeight="1" s="140"/>
    <row r="882" ht="14.25" customHeight="1" s="140"/>
    <row r="883" ht="14.25" customHeight="1" s="140"/>
    <row r="884" ht="14.25" customHeight="1" s="140"/>
    <row r="885" ht="14.25" customHeight="1" s="140"/>
    <row r="886" ht="14.25" customHeight="1" s="140"/>
    <row r="887" ht="14.25" customHeight="1" s="140"/>
    <row r="888" ht="14.25" customHeight="1" s="140"/>
    <row r="889" ht="14.25" customHeight="1" s="140"/>
    <row r="890" ht="14.25" customHeight="1" s="140"/>
    <row r="891" ht="14.25" customHeight="1" s="140"/>
    <row r="892" ht="14.25" customHeight="1" s="140"/>
    <row r="893" ht="14.25" customHeight="1" s="140"/>
    <row r="894" ht="14.25" customHeight="1" s="140"/>
    <row r="895" ht="14.25" customHeight="1" s="140"/>
    <row r="896" ht="14.25" customHeight="1" s="140"/>
    <row r="897" ht="14.25" customHeight="1" s="140"/>
    <row r="898" ht="14.25" customHeight="1" s="140"/>
    <row r="899" ht="14.25" customHeight="1" s="140"/>
    <row r="900" ht="14.25" customHeight="1" s="140"/>
    <row r="901" ht="14.25" customHeight="1" s="140"/>
    <row r="902" ht="14.25" customHeight="1" s="140"/>
    <row r="903" ht="14.25" customHeight="1" s="140"/>
    <row r="904" ht="14.25" customHeight="1" s="140"/>
    <row r="905" ht="14.25" customHeight="1" s="140"/>
    <row r="906" ht="14.25" customHeight="1" s="140"/>
    <row r="907" ht="14.25" customHeight="1" s="140"/>
    <row r="908" ht="14.25" customHeight="1" s="140"/>
    <row r="909" ht="14.25" customHeight="1" s="140"/>
    <row r="910" ht="14.25" customHeight="1" s="140"/>
    <row r="911" ht="14.25" customHeight="1" s="140"/>
    <row r="912" ht="14.25" customHeight="1" s="140"/>
    <row r="913" ht="14.25" customHeight="1" s="140"/>
    <row r="914" ht="14.25" customHeight="1" s="140"/>
    <row r="915" ht="14.25" customHeight="1" s="140"/>
    <row r="916" ht="14.25" customHeight="1" s="140"/>
    <row r="917" ht="14.25" customHeight="1" s="140"/>
    <row r="918" ht="14.25" customHeight="1" s="140"/>
    <row r="919" ht="14.25" customHeight="1" s="140"/>
    <row r="920" ht="14.25" customHeight="1" s="140"/>
    <row r="921" ht="14.25" customHeight="1" s="140"/>
    <row r="922" ht="14.25" customHeight="1" s="140"/>
    <row r="923" ht="14.25" customHeight="1" s="140"/>
    <row r="924" ht="14.25" customHeight="1" s="140"/>
    <row r="925" ht="14.25" customHeight="1" s="140"/>
    <row r="926" ht="14.25" customHeight="1" s="140"/>
    <row r="927" ht="14.25" customHeight="1" s="140"/>
    <row r="928" ht="14.25" customHeight="1" s="140"/>
    <row r="929" ht="14.25" customHeight="1" s="140"/>
    <row r="930" ht="14.25" customHeight="1" s="140"/>
    <row r="931" ht="14.25" customHeight="1" s="140"/>
    <row r="932" ht="14.25" customHeight="1" s="140"/>
    <row r="933" ht="14.25" customHeight="1" s="140"/>
    <row r="934" ht="14.25" customHeight="1" s="140"/>
    <row r="935" ht="14.25" customHeight="1" s="140"/>
    <row r="936" ht="14.25" customHeight="1" s="140"/>
    <row r="937" ht="14.25" customHeight="1" s="140"/>
    <row r="938" ht="14.25" customHeight="1" s="140"/>
    <row r="939" ht="14.25" customHeight="1" s="140"/>
    <row r="940" ht="14.25" customHeight="1" s="140"/>
    <row r="941" ht="14.25" customHeight="1" s="140"/>
    <row r="942" ht="14.25" customHeight="1" s="140"/>
    <row r="943" ht="14.25" customHeight="1" s="140"/>
    <row r="944" ht="14.25" customHeight="1" s="140"/>
    <row r="945" ht="14.25" customHeight="1" s="140"/>
    <row r="946" ht="14.25" customHeight="1" s="140"/>
    <row r="947" ht="14.25" customHeight="1" s="140"/>
    <row r="948" ht="14.25" customHeight="1" s="140"/>
    <row r="949" ht="14.25" customHeight="1" s="140"/>
    <row r="950" ht="14.25" customHeight="1" s="140"/>
    <row r="951" ht="14.25" customHeight="1" s="140"/>
    <row r="952" ht="14.25" customHeight="1" s="140"/>
    <row r="953" ht="14.25" customHeight="1" s="140"/>
    <row r="954" ht="14.25" customHeight="1" s="140"/>
    <row r="955" ht="14.25" customHeight="1" s="140"/>
    <row r="956" ht="14.25" customHeight="1" s="140"/>
    <row r="957" ht="14.25" customHeight="1" s="140"/>
    <row r="958" ht="14.25" customHeight="1" s="140"/>
    <row r="959" ht="14.25" customHeight="1" s="140"/>
    <row r="960" ht="14.25" customHeight="1" s="140"/>
    <row r="961" ht="14.25" customHeight="1" s="140"/>
    <row r="962" ht="14.25" customHeight="1" s="140"/>
    <row r="963" ht="14.25" customHeight="1" s="140"/>
    <row r="964" ht="14.25" customHeight="1" s="140"/>
    <row r="965" ht="14.25" customHeight="1" s="140"/>
    <row r="966" ht="14.25" customHeight="1" s="140"/>
    <row r="967" ht="14.25" customHeight="1" s="140"/>
    <row r="968" ht="14.25" customHeight="1" s="140"/>
    <row r="969" ht="14.25" customHeight="1" s="140"/>
    <row r="970" ht="14.25" customHeight="1" s="140"/>
    <row r="971" ht="14.25" customHeight="1" s="140"/>
    <row r="972" ht="14.25" customHeight="1" s="140"/>
    <row r="973" ht="14.25" customHeight="1" s="140"/>
    <row r="974" ht="14.25" customHeight="1" s="140"/>
    <row r="975" ht="14.25" customHeight="1" s="140"/>
    <row r="976" ht="14.25" customHeight="1" s="140"/>
    <row r="977" ht="14.25" customHeight="1" s="140"/>
    <row r="978" ht="14.25" customHeight="1" s="140"/>
    <row r="979" ht="14.25" customHeight="1" s="140"/>
    <row r="980" ht="14.25" customHeight="1" s="140"/>
    <row r="981" ht="14.25" customHeight="1" s="140"/>
    <row r="982" ht="14.25" customHeight="1" s="140"/>
    <row r="983" ht="14.25" customHeight="1" s="140"/>
    <row r="984" ht="14.25" customHeight="1" s="140"/>
    <row r="985" ht="14.25" customHeight="1" s="140"/>
    <row r="986" ht="14.25" customHeight="1" s="140"/>
    <row r="987" ht="14.25" customHeight="1" s="140"/>
    <row r="988" ht="14.25" customHeight="1" s="140"/>
    <row r="989" ht="14.25" customHeight="1" s="140"/>
    <row r="990" ht="14.25" customHeight="1" s="140"/>
    <row r="991" ht="14.25" customHeight="1" s="140"/>
    <row r="992" ht="14.25" customHeight="1" s="140"/>
    <row r="993" ht="14.25" customHeight="1" s="140"/>
    <row r="994" ht="14.25" customHeight="1" s="140"/>
    <row r="995" ht="14.25" customHeight="1" s="140"/>
    <row r="996" ht="14.25" customHeight="1" s="140"/>
    <row r="997" ht="14.25" customHeight="1" s="140"/>
    <row r="998" ht="14.25" customHeight="1" s="140"/>
    <row r="999" ht="14.25" customHeight="1" s="140"/>
    <row r="1000" ht="14.25" customHeight="1" s="140"/>
  </sheetData>
  <mergeCells count="38">
    <mergeCell ref="A22:G22"/>
    <mergeCell ref="C45:D45"/>
    <mergeCell ref="A29:G29"/>
    <mergeCell ref="C14:G14"/>
    <mergeCell ref="A43:G43"/>
    <mergeCell ref="E46:G46"/>
    <mergeCell ref="B10:G10"/>
    <mergeCell ref="C20:G20"/>
    <mergeCell ref="C47:D47"/>
    <mergeCell ref="E49:G49"/>
    <mergeCell ref="C54:D54"/>
    <mergeCell ref="E45:G45"/>
    <mergeCell ref="C50:D50"/>
    <mergeCell ref="A30:G30"/>
    <mergeCell ref="C44:D44"/>
    <mergeCell ref="E54:G54"/>
    <mergeCell ref="A1:G1"/>
    <mergeCell ref="C12:G12"/>
    <mergeCell ref="C46:D46"/>
    <mergeCell ref="C51:D51"/>
    <mergeCell ref="E53:G53"/>
    <mergeCell ref="C11:G11"/>
    <mergeCell ref="E47:G47"/>
    <mergeCell ref="E50:G50"/>
    <mergeCell ref="C52:D52"/>
    <mergeCell ref="C48:D48"/>
    <mergeCell ref="C17:G17"/>
    <mergeCell ref="B16:G16"/>
    <mergeCell ref="E52:G52"/>
    <mergeCell ref="A3:G3"/>
    <mergeCell ref="E48:G48"/>
    <mergeCell ref="C19:G19"/>
    <mergeCell ref="E44:G44"/>
    <mergeCell ref="C53:D53"/>
    <mergeCell ref="C13:G13"/>
    <mergeCell ref="C18:G18"/>
    <mergeCell ref="E51:G51"/>
    <mergeCell ref="C49:D49"/>
  </mergeCells>
  <pageMargins left="0.7" right="0.7" top="0.75" bottom="0.75" header="0" footer="0"/>
  <pageSetup orientation="portrait" paperSize="9" scale="4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Sergio Fanjul</dc:creator>
  <dcterms:created xmlns:dcterms="http://purl.org/dc/terms/" xmlns:xsi="http://www.w3.org/2001/XMLSchema-instance" xsi:type="dcterms:W3CDTF">2019-12-20T12:36:12Z</dcterms:created>
  <dcterms:modified xmlns:dcterms="http://purl.org/dc/terms/" xmlns:xsi="http://www.w3.org/2001/XMLSchema-instance" xsi:type="dcterms:W3CDTF">2026-10-15T13:36:59Z</dcterms:modified>
</cp:coreProperties>
</file>